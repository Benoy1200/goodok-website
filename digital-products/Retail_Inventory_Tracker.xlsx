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i val="1"/>
      <color rgb="00666666"/>
      <sz val="10"/>
    </font>
    <font>
      <b val="1"/>
      <color rgb="002E86AB"/>
      <sz val="10"/>
    </font>
    <font>
      <name val="Arial"/>
      <b val="1"/>
      <color rgb="00FFFFFF"/>
      <sz val="14"/>
    </font>
    <font>
      <name val="Arial"/>
      <b val="1"/>
      <color rgb="002C3E50"/>
      <sz val="11"/>
    </font>
    <font>
      <name val="Arial"/>
      <b val="1"/>
      <color rgb="001E3A5F"/>
      <sz val="11"/>
    </font>
    <font>
      <b val="1"/>
      <color rgb="00F39C12"/>
    </font>
    <font>
      <b val="1"/>
      <color rgb="00E74C3C"/>
    </font>
    <font>
      <b val="1"/>
      <color rgb="002E86AB"/>
      <sz val="12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9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8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8" customWidth="1" min="12" max="12"/>
  </cols>
  <sheetData>
    <row r="1" ht="35" customHeight="1">
      <c r="A1" s="1" t="inlineStr">
        <is>
          <t>RETAIL STORE INVENTORY TRACKER</t>
        </is>
      </c>
    </row>
    <row r="2">
      <c r="A2" s="2" t="inlineStr">
        <is>
          <t>Version 1.0 | Goodok Shopfitting</t>
        </is>
      </c>
    </row>
    <row r="4">
      <c r="A4" s="3" t="inlineStr">
        <is>
          <t>Instructions: Enter products below. Yellow cells are editable. Status and Margin calculate automatically.</t>
        </is>
      </c>
    </row>
    <row r="6" ht="28" customHeight="1">
      <c r="A6" s="4" t="inlineStr">
        <is>
          <t>PRODUCT INVENTORY</t>
        </is>
      </c>
    </row>
    <row r="7" ht="22" customHeight="1">
      <c r="A7" s="5" t="inlineStr">
        <is>
          <t>SKU</t>
        </is>
      </c>
      <c r="B7" s="5" t="inlineStr">
        <is>
          <t>Product Name</t>
        </is>
      </c>
      <c r="C7" s="5" t="inlineStr">
        <is>
          <t>Category</t>
        </is>
      </c>
      <c r="D7" s="5" t="inlineStr">
        <is>
          <t>Supplier</t>
        </is>
      </c>
      <c r="E7" s="5" t="inlineStr">
        <is>
          <t>Cost ($)</t>
        </is>
      </c>
      <c r="F7" s="5" t="inlineStr">
        <is>
          <t>Retail ($)</t>
        </is>
      </c>
      <c r="G7" s="5" t="inlineStr">
        <is>
          <t>Margin</t>
        </is>
      </c>
      <c r="H7" s="5" t="inlineStr">
        <is>
          <t>Qty</t>
        </is>
      </c>
      <c r="I7" s="5" t="inlineStr">
        <is>
          <t>Reorder Pt</t>
        </is>
      </c>
      <c r="J7" s="5" t="inlineStr">
        <is>
          <t>Order Qty</t>
        </is>
      </c>
      <c r="K7" s="5" t="inlineStr">
        <is>
          <t>Status</t>
        </is>
      </c>
      <c r="L7" s="5" t="inlineStr">
        <is>
          <t>Last Updated</t>
        </is>
      </c>
    </row>
    <row r="8">
      <c r="A8" s="6" t="inlineStr">
        <is>
          <t>SKU001</t>
        </is>
      </c>
      <c r="B8" s="6" t="inlineStr">
        <is>
          <t>Sample Product A</t>
        </is>
      </c>
      <c r="C8" s="7" t="inlineStr">
        <is>
          <t>Category 1</t>
        </is>
      </c>
      <c r="D8" s="7" t="inlineStr">
        <is>
          <t>Supplier A</t>
        </is>
      </c>
      <c r="E8" s="8" t="n">
        <v>10</v>
      </c>
      <c r="F8" s="8" t="n">
        <v>24.99</v>
      </c>
      <c r="G8" s="9">
        <f>(F8-E8)/F8</f>
        <v/>
      </c>
      <c r="H8" s="10" t="n">
        <v>25</v>
      </c>
      <c r="I8" s="10" t="n">
        <v>10</v>
      </c>
      <c r="J8" s="10" t="n">
        <v>50</v>
      </c>
      <c r="K8" s="11">
        <f>IF(H8=0,"OUT OF STOCK",IF(H8&lt;=I8,"LOW STOCK","IN STOCK"))</f>
        <v/>
      </c>
      <c r="L8" s="6" t="inlineStr">
        <is>
          <t>2024-01-01</t>
        </is>
      </c>
    </row>
    <row r="9">
      <c r="A9" s="6" t="inlineStr">
        <is>
          <t>SKU002</t>
        </is>
      </c>
      <c r="B9" s="6" t="inlineStr">
        <is>
          <t>Sample Product B</t>
        </is>
      </c>
      <c r="C9" s="7" t="inlineStr">
        <is>
          <t>Category 1</t>
        </is>
      </c>
      <c r="D9" s="7" t="inlineStr">
        <is>
          <t>Supplier A</t>
        </is>
      </c>
      <c r="E9" s="8" t="n">
        <v>15</v>
      </c>
      <c r="F9" s="8" t="n">
        <v>34.99</v>
      </c>
      <c r="G9" s="9">
        <f>(F9-E9)/F9</f>
        <v/>
      </c>
      <c r="H9" s="10" t="n">
        <v>8</v>
      </c>
      <c r="I9" s="10" t="n">
        <v>10</v>
      </c>
      <c r="J9" s="10" t="n">
        <v>30</v>
      </c>
      <c r="K9" s="11">
        <f>IF(H9=0,"OUT OF STOCK",IF(H9&lt;=I9,"LOW STOCK","IN STOCK"))</f>
        <v/>
      </c>
      <c r="L9" s="6" t="inlineStr">
        <is>
          <t>2024-01-01</t>
        </is>
      </c>
    </row>
    <row r="10">
      <c r="A10" s="6" t="inlineStr">
        <is>
          <t>SKU003</t>
        </is>
      </c>
      <c r="B10" s="6" t="inlineStr">
        <is>
          <t>Sample Product C</t>
        </is>
      </c>
      <c r="C10" s="7" t="inlineStr">
        <is>
          <t>Category 2</t>
        </is>
      </c>
      <c r="D10" s="7" t="inlineStr">
        <is>
          <t>Supplier B</t>
        </is>
      </c>
      <c r="E10" s="8" t="n">
        <v>5</v>
      </c>
      <c r="F10" s="8" t="n">
        <v>12.99</v>
      </c>
      <c r="G10" s="9">
        <f>(F10-E10)/F10</f>
        <v/>
      </c>
      <c r="H10" s="10" t="n">
        <v>0</v>
      </c>
      <c r="I10" s="10" t="n">
        <v>5</v>
      </c>
      <c r="J10" s="10" t="n">
        <v>25</v>
      </c>
      <c r="K10" s="11">
        <f>IF(H10=0,"OUT OF STOCK",IF(H10&lt;=I10,"LOW STOCK","IN STOCK"))</f>
        <v/>
      </c>
      <c r="L10" s="6" t="inlineStr">
        <is>
          <t>2024-01-01</t>
        </is>
      </c>
    </row>
    <row r="11">
      <c r="A11" s="6" t="n"/>
      <c r="B11" s="6" t="n"/>
      <c r="C11" s="7" t="n"/>
      <c r="D11" s="7" t="n"/>
      <c r="E11" s="8" t="n"/>
      <c r="F11" s="8" t="n"/>
      <c r="G11" s="9">
        <f>IF(F11&gt;0,(F11-E11)/F11,0)</f>
        <v/>
      </c>
      <c r="H11" s="7" t="n"/>
      <c r="I11" s="7" t="n"/>
      <c r="J11" s="7" t="n"/>
      <c r="K11" s="6">
        <f>IF(H11=0,"",IF(H11&lt;=I11,"LOW STOCK","IN STOCK"))</f>
        <v/>
      </c>
      <c r="L11" s="6" t="n"/>
    </row>
    <row r="12">
      <c r="A12" s="6" t="n"/>
      <c r="B12" s="6" t="n"/>
      <c r="C12" s="7" t="n"/>
      <c r="D12" s="7" t="n"/>
      <c r="E12" s="8" t="n"/>
      <c r="F12" s="8" t="n"/>
      <c r="G12" s="9">
        <f>IF(F12&gt;0,(F12-E12)/F12,0)</f>
        <v/>
      </c>
      <c r="H12" s="7" t="n"/>
      <c r="I12" s="7" t="n"/>
      <c r="J12" s="7" t="n"/>
      <c r="K12" s="6">
        <f>IF(H12=0,"",IF(H12&lt;=I12,"LOW STOCK","IN STOCK"))</f>
        <v/>
      </c>
      <c r="L12" s="6" t="n"/>
    </row>
    <row r="13">
      <c r="A13" s="6" t="n"/>
      <c r="B13" s="6" t="n"/>
      <c r="C13" s="7" t="n"/>
      <c r="D13" s="7" t="n"/>
      <c r="E13" s="8" t="n"/>
      <c r="F13" s="8" t="n"/>
      <c r="G13" s="9">
        <f>IF(F13&gt;0,(F13-E13)/F13,0)</f>
        <v/>
      </c>
      <c r="H13" s="7" t="n"/>
      <c r="I13" s="7" t="n"/>
      <c r="J13" s="7" t="n"/>
      <c r="K13" s="6">
        <f>IF(H13=0,"",IF(H13&lt;=I13,"LOW STOCK","IN STOCK"))</f>
        <v/>
      </c>
      <c r="L13" s="6" t="n"/>
    </row>
    <row r="14">
      <c r="A14" s="6" t="n"/>
      <c r="B14" s="6" t="n"/>
      <c r="C14" s="7" t="n"/>
      <c r="D14" s="7" t="n"/>
      <c r="E14" s="8" t="n"/>
      <c r="F14" s="8" t="n"/>
      <c r="G14" s="9">
        <f>IF(F14&gt;0,(F14-E14)/F14,0)</f>
        <v/>
      </c>
      <c r="H14" s="7" t="n"/>
      <c r="I14" s="7" t="n"/>
      <c r="J14" s="7" t="n"/>
      <c r="K14" s="6">
        <f>IF(H14=0,"",IF(H14&lt;=I14,"LOW STOCK","IN STOCK"))</f>
        <v/>
      </c>
      <c r="L14" s="6" t="n"/>
    </row>
    <row r="15">
      <c r="A15" s="6" t="n"/>
      <c r="B15" s="6" t="n"/>
      <c r="C15" s="7" t="n"/>
      <c r="D15" s="7" t="n"/>
      <c r="E15" s="8" t="n"/>
      <c r="F15" s="8" t="n"/>
      <c r="G15" s="9">
        <f>IF(F15&gt;0,(F15-E15)/F15,0)</f>
        <v/>
      </c>
      <c r="H15" s="7" t="n"/>
      <c r="I15" s="7" t="n"/>
      <c r="J15" s="7" t="n"/>
      <c r="K15" s="6">
        <f>IF(H15=0,"",IF(H15&lt;=I15,"LOW STOCK","IN STOCK"))</f>
        <v/>
      </c>
      <c r="L15" s="6" t="n"/>
    </row>
    <row r="16">
      <c r="A16" s="6" t="n"/>
      <c r="B16" s="6" t="n"/>
      <c r="C16" s="7" t="n"/>
      <c r="D16" s="7" t="n"/>
      <c r="E16" s="8" t="n"/>
      <c r="F16" s="8" t="n"/>
      <c r="G16" s="9">
        <f>IF(F16&gt;0,(F16-E16)/F16,0)</f>
        <v/>
      </c>
      <c r="H16" s="7" t="n"/>
      <c r="I16" s="7" t="n"/>
      <c r="J16" s="7" t="n"/>
      <c r="K16" s="6">
        <f>IF(H16=0,"",IF(H16&lt;=I16,"LOW STOCK","IN STOCK"))</f>
        <v/>
      </c>
      <c r="L16" s="6" t="n"/>
    </row>
    <row r="17">
      <c r="A17" s="6" t="n"/>
      <c r="B17" s="6" t="n"/>
      <c r="C17" s="7" t="n"/>
      <c r="D17" s="7" t="n"/>
      <c r="E17" s="8" t="n"/>
      <c r="F17" s="8" t="n"/>
      <c r="G17" s="9">
        <f>IF(F17&gt;0,(F17-E17)/F17,0)</f>
        <v/>
      </c>
      <c r="H17" s="7" t="n"/>
      <c r="I17" s="7" t="n"/>
      <c r="J17" s="7" t="n"/>
      <c r="K17" s="6">
        <f>IF(H17=0,"",IF(H17&lt;=I17,"LOW STOCK","IN STOCK"))</f>
        <v/>
      </c>
      <c r="L17" s="6" t="n"/>
    </row>
    <row r="18">
      <c r="A18" s="6" t="n"/>
      <c r="B18" s="6" t="n"/>
      <c r="C18" s="7" t="n"/>
      <c r="D18" s="7" t="n"/>
      <c r="E18" s="8" t="n"/>
      <c r="F18" s="8" t="n"/>
      <c r="G18" s="9">
        <f>IF(F18&gt;0,(F18-E18)/F18,0)</f>
        <v/>
      </c>
      <c r="H18" s="7" t="n"/>
      <c r="I18" s="7" t="n"/>
      <c r="J18" s="7" t="n"/>
      <c r="K18" s="6">
        <f>IF(H18=0,"",IF(H18&lt;=I18,"LOW STOCK","IN STOCK"))</f>
        <v/>
      </c>
      <c r="L18" s="6" t="n"/>
    </row>
    <row r="19">
      <c r="A19" s="6" t="n"/>
      <c r="B19" s="6" t="n"/>
      <c r="C19" s="7" t="n"/>
      <c r="D19" s="7" t="n"/>
      <c r="E19" s="8" t="n"/>
      <c r="F19" s="8" t="n"/>
      <c r="G19" s="9">
        <f>IF(F19&gt;0,(F19-E19)/F19,0)</f>
        <v/>
      </c>
      <c r="H19" s="7" t="n"/>
      <c r="I19" s="7" t="n"/>
      <c r="J19" s="7" t="n"/>
      <c r="K19" s="6">
        <f>IF(H19=0,"",IF(H19&lt;=I19,"LOW STOCK","IN STOCK"))</f>
        <v/>
      </c>
      <c r="L19" s="6" t="n"/>
    </row>
    <row r="20">
      <c r="A20" s="6" t="n"/>
      <c r="B20" s="6" t="n"/>
      <c r="C20" s="7" t="n"/>
      <c r="D20" s="7" t="n"/>
      <c r="E20" s="8" t="n"/>
      <c r="F20" s="8" t="n"/>
      <c r="G20" s="9">
        <f>IF(F20&gt;0,(F20-E20)/F20,0)</f>
        <v/>
      </c>
      <c r="H20" s="7" t="n"/>
      <c r="I20" s="7" t="n"/>
      <c r="J20" s="7" t="n"/>
      <c r="K20" s="6">
        <f>IF(H20=0,"",IF(H20&lt;=I20,"LOW STOCK","IN STOCK"))</f>
        <v/>
      </c>
      <c r="L20" s="6" t="n"/>
    </row>
    <row r="21">
      <c r="A21" s="6" t="n"/>
      <c r="B21" s="6" t="n"/>
      <c r="C21" s="7" t="n"/>
      <c r="D21" s="7" t="n"/>
      <c r="E21" s="8" t="n"/>
      <c r="F21" s="8" t="n"/>
      <c r="G21" s="9">
        <f>IF(F21&gt;0,(F21-E21)/F21,0)</f>
        <v/>
      </c>
      <c r="H21" s="7" t="n"/>
      <c r="I21" s="7" t="n"/>
      <c r="J21" s="7" t="n"/>
      <c r="K21" s="6">
        <f>IF(H21=0,"",IF(H21&lt;=I21,"LOW STOCK","IN STOCK"))</f>
        <v/>
      </c>
      <c r="L21" s="6" t="n"/>
    </row>
    <row r="22">
      <c r="A22" s="6" t="n"/>
      <c r="B22" s="6" t="n"/>
      <c r="C22" s="7" t="n"/>
      <c r="D22" s="7" t="n"/>
      <c r="E22" s="8" t="n"/>
      <c r="F22" s="8" t="n"/>
      <c r="G22" s="9">
        <f>IF(F22&gt;0,(F22-E22)/F22,0)</f>
        <v/>
      </c>
      <c r="H22" s="7" t="n"/>
      <c r="I22" s="7" t="n"/>
      <c r="J22" s="7" t="n"/>
      <c r="K22" s="6">
        <f>IF(H22=0,"",IF(H22&lt;=I22,"LOW STOCK","IN STOCK"))</f>
        <v/>
      </c>
      <c r="L22" s="6" t="n"/>
    </row>
    <row r="23">
      <c r="A23" s="6" t="n"/>
      <c r="B23" s="6" t="n"/>
      <c r="C23" s="7" t="n"/>
      <c r="D23" s="7" t="n"/>
      <c r="E23" s="8" t="n"/>
      <c r="F23" s="8" t="n"/>
      <c r="G23" s="9">
        <f>IF(F23&gt;0,(F23-E23)/F23,0)</f>
        <v/>
      </c>
      <c r="H23" s="7" t="n"/>
      <c r="I23" s="7" t="n"/>
      <c r="J23" s="7" t="n"/>
      <c r="K23" s="6">
        <f>IF(H23=0,"",IF(H23&lt;=I23,"LOW STOCK","IN STOCK"))</f>
        <v/>
      </c>
      <c r="L23" s="6" t="n"/>
    </row>
    <row r="24">
      <c r="A24" s="6" t="n"/>
      <c r="B24" s="6" t="n"/>
      <c r="C24" s="7" t="n"/>
      <c r="D24" s="7" t="n"/>
      <c r="E24" s="8" t="n"/>
      <c r="F24" s="8" t="n"/>
      <c r="G24" s="9">
        <f>IF(F24&gt;0,(F24-E24)/F24,0)</f>
        <v/>
      </c>
      <c r="H24" s="7" t="n"/>
      <c r="I24" s="7" t="n"/>
      <c r="J24" s="7" t="n"/>
      <c r="K24" s="6">
        <f>IF(H24=0,"",IF(H24&lt;=I24,"LOW STOCK","IN STOCK"))</f>
        <v/>
      </c>
      <c r="L24" s="6" t="n"/>
    </row>
    <row r="25">
      <c r="A25" s="6" t="n"/>
      <c r="B25" s="6" t="n"/>
      <c r="C25" s="7" t="n"/>
      <c r="D25" s="7" t="n"/>
      <c r="E25" s="8" t="n"/>
      <c r="F25" s="8" t="n"/>
      <c r="G25" s="9">
        <f>IF(F25&gt;0,(F25-E25)/F25,0)</f>
        <v/>
      </c>
      <c r="H25" s="7" t="n"/>
      <c r="I25" s="7" t="n"/>
      <c r="J25" s="7" t="n"/>
      <c r="K25" s="6">
        <f>IF(H25=0,"",IF(H25&lt;=I25,"LOW STOCK","IN STOCK"))</f>
        <v/>
      </c>
      <c r="L25" s="6" t="n"/>
    </row>
    <row r="26">
      <c r="A26" s="6" t="n"/>
      <c r="B26" s="6" t="n"/>
      <c r="C26" s="7" t="n"/>
      <c r="D26" s="7" t="n"/>
      <c r="E26" s="8" t="n"/>
      <c r="F26" s="8" t="n"/>
      <c r="G26" s="9">
        <f>IF(F26&gt;0,(F26-E26)/F26,0)</f>
        <v/>
      </c>
      <c r="H26" s="7" t="n"/>
      <c r="I26" s="7" t="n"/>
      <c r="J26" s="7" t="n"/>
      <c r="K26" s="6">
        <f>IF(H26=0,"",IF(H26&lt;=I26,"LOW STOCK","IN STOCK"))</f>
        <v/>
      </c>
      <c r="L26" s="6" t="n"/>
    </row>
    <row r="27">
      <c r="A27" s="6" t="n"/>
      <c r="B27" s="6" t="n"/>
      <c r="C27" s="7" t="n"/>
      <c r="D27" s="7" t="n"/>
      <c r="E27" s="8" t="n"/>
      <c r="F27" s="8" t="n"/>
      <c r="G27" s="9">
        <f>IF(F27&gt;0,(F27-E27)/F27,0)</f>
        <v/>
      </c>
      <c r="H27" s="7" t="n"/>
      <c r="I27" s="7" t="n"/>
      <c r="J27" s="7" t="n"/>
      <c r="K27" s="6">
        <f>IF(H27=0,"",IF(H27&lt;=I27,"LOW STOCK","IN STOCK"))</f>
        <v/>
      </c>
      <c r="L27" s="6" t="n"/>
    </row>
    <row r="28">
      <c r="A28" s="6" t="n"/>
      <c r="B28" s="6" t="n"/>
      <c r="C28" s="7" t="n"/>
      <c r="D28" s="7" t="n"/>
      <c r="E28" s="8" t="n"/>
      <c r="F28" s="8" t="n"/>
      <c r="G28" s="9">
        <f>IF(F28&gt;0,(F28-E28)/F28,0)</f>
        <v/>
      </c>
      <c r="H28" s="7" t="n"/>
      <c r="I28" s="7" t="n"/>
      <c r="J28" s="7" t="n"/>
      <c r="K28" s="6">
        <f>IF(H28=0,"",IF(H28&lt;=I28,"LOW STOCK","IN STOCK"))</f>
        <v/>
      </c>
      <c r="L28" s="6" t="n"/>
    </row>
    <row r="29">
      <c r="A29" s="6" t="n"/>
      <c r="B29" s="6" t="n"/>
      <c r="C29" s="7" t="n"/>
      <c r="D29" s="7" t="n"/>
      <c r="E29" s="8" t="n"/>
      <c r="F29" s="8" t="n"/>
      <c r="G29" s="9">
        <f>IF(F29&gt;0,(F29-E29)/F29,0)</f>
        <v/>
      </c>
      <c r="H29" s="7" t="n"/>
      <c r="I29" s="7" t="n"/>
      <c r="J29" s="7" t="n"/>
      <c r="K29" s="6">
        <f>IF(H29=0,"",IF(H29&lt;=I29,"LOW STOCK","IN STOCK"))</f>
        <v/>
      </c>
      <c r="L29" s="6" t="n"/>
    </row>
    <row r="30">
      <c r="A30" s="6" t="n"/>
      <c r="B30" s="6" t="n"/>
      <c r="C30" s="7" t="n"/>
      <c r="D30" s="7" t="n"/>
      <c r="E30" s="8" t="n"/>
      <c r="F30" s="8" t="n"/>
      <c r="G30" s="9">
        <f>IF(F30&gt;0,(F30-E30)/F30,0)</f>
        <v/>
      </c>
      <c r="H30" s="7" t="n"/>
      <c r="I30" s="7" t="n"/>
      <c r="J30" s="7" t="n"/>
      <c r="K30" s="6">
        <f>IF(H30=0,"",IF(H30&lt;=I30,"LOW STOCK","IN STOCK"))</f>
        <v/>
      </c>
      <c r="L30" s="6" t="n"/>
    </row>
    <row r="33" ht="28" customHeight="1">
      <c r="A33" s="4" t="inlineStr">
        <is>
          <t>INVENTORY SUMMARY</t>
        </is>
      </c>
    </row>
    <row r="34">
      <c r="A34" t="inlineStr">
        <is>
          <t>Total SKUs:</t>
        </is>
      </c>
      <c r="B34" s="12">
        <f>COUNTA(A8:A31)</f>
        <v/>
      </c>
    </row>
    <row r="35">
      <c r="A35" t="inlineStr">
        <is>
          <t>Total Units:</t>
        </is>
      </c>
      <c r="B35" s="12">
        <f>SUM(H8:H31)</f>
        <v/>
      </c>
    </row>
    <row r="36">
      <c r="A36" t="inlineStr">
        <is>
          <t>Total Inventory Value:</t>
        </is>
      </c>
      <c r="B36" s="13">
        <f>SUMPRODUCT(E8:E31,H8:H31)</f>
        <v/>
      </c>
    </row>
    <row r="37">
      <c r="A37" t="inlineStr">
        <is>
          <t>Low Stock Items:</t>
        </is>
      </c>
      <c r="B37" s="14">
        <f>COUNTIF(K8:K31,"LOW STOCK")</f>
        <v/>
      </c>
    </row>
    <row r="38">
      <c r="A38" t="inlineStr">
        <is>
          <t>Out of Stock Items:</t>
        </is>
      </c>
      <c r="B38" s="15">
        <f>COUNTIF(K8:K31,"OUT OF STOCK")</f>
        <v/>
      </c>
    </row>
    <row r="41">
      <c r="A41" s="16" t="inlineStr">
        <is>
          <t>Need help organizing your store? Contact Goodok Shopfitting!</t>
        </is>
      </c>
    </row>
  </sheetData>
  <mergeCells count="6">
    <mergeCell ref="A2:L2"/>
    <mergeCell ref="A41:L41"/>
    <mergeCell ref="A33:L33"/>
    <mergeCell ref="A1:L1"/>
    <mergeCell ref="A6:L6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2026-01-10T16:56:30Z</dcterms:created>
  <dcterms:modified xmlns:dcterms="http://purl.org/dc/terms/" xmlns:xsi="http://www.w3.org/2001/XMLSchema-instance" xsi:type="dcterms:W3CDTF">2026-01-10T16:56:30Z</dcterms:modified>
</cp:coreProperties>
</file>