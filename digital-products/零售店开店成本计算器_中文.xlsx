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店成本计算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i val="1"/>
      <color rgb="00666666"/>
      <sz val="10"/>
    </font>
    <font>
      <name val="微软雅黑"/>
      <b val="1"/>
      <color rgb="002E86AB"/>
      <sz val="10"/>
    </font>
    <font>
      <name val="微软雅黑"/>
      <b val="1"/>
      <color rgb="00FFFFFF"/>
      <sz val="14"/>
    </font>
    <font>
      <name val="微软雅黑"/>
      <b val="1"/>
      <color rgb="002C3E50"/>
      <sz val="11"/>
    </font>
    <font>
      <name val="微软雅黑"/>
      <b val="1"/>
      <color rgb="001E3A5F"/>
      <sz val="11"/>
    </font>
  </fonts>
  <fills count="7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E86AB"/>
        <bgColor rgb="002E86AB"/>
      </patternFill>
    </fill>
    <fill>
      <patternFill patternType="solid">
        <fgColor rgb="00F8F9FA"/>
        <bgColor rgb="00F8F9FA"/>
      </patternFill>
    </fill>
    <fill>
      <patternFill patternType="solid">
        <fgColor rgb="00FFFDE7"/>
        <bgColor rgb="00FFFDE7"/>
      </patternFill>
    </fill>
    <fill>
      <patternFill patternType="solid">
        <fgColor rgb="00E8F4FD"/>
        <bgColor rgb="00E8F4F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5" borderId="1" pivotButton="0" quotePrefix="0" xfId="0"/>
    <xf numFmtId="0" fontId="6" fillId="0" borderId="0" pivotButton="0" quotePrefix="0" xfId="0"/>
    <xf numFmtId="164" fontId="6" fillId="6" borderId="1" pivotButton="0" quotePrefix="0" xfId="0"/>
    <xf numFmtId="0" fontId="0" fillId="5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164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45" customWidth="1" min="4" max="4"/>
  </cols>
  <sheetData>
    <row r="1" ht="35" customHeight="1">
      <c r="A1" s="1" t="inlineStr">
        <is>
          <t>🏪 零售店开店成本计算器</t>
        </is>
      </c>
    </row>
    <row r="2" ht="20" customHeight="1">
      <c r="A2" s="2" t="inlineStr">
        <is>
          <t>版本 1.0 | Goodok 货架策划 | www.goodokshop.com</t>
        </is>
      </c>
    </row>
    <row r="4">
      <c r="A4" s="3" t="inlineStr">
        <is>
          <t>📝 说明：在黄色单元格填入估算金额。公式会自动汇总。</t>
        </is>
      </c>
    </row>
    <row r="6" ht="28" customHeight="1">
      <c r="A6" s="4" t="inlineStr">
        <is>
          <t>📍 第一部分：选址与租约费用</t>
        </is>
      </c>
    </row>
    <row r="7" ht="22" customHeight="1">
      <c r="A7" s="5" t="inlineStr">
        <is>
          <t>费用类别</t>
        </is>
      </c>
      <c r="B7" s="5" t="inlineStr">
        <is>
          <t>具体项目</t>
        </is>
      </c>
      <c r="C7" s="5" t="inlineStr">
        <is>
          <t>预计成本 (¥)</t>
        </is>
      </c>
      <c r="D7" s="5" t="inlineStr">
        <is>
          <t>备注</t>
        </is>
      </c>
    </row>
    <row r="8">
      <c r="A8" s="6" t="inlineStr">
        <is>
          <t>房租</t>
        </is>
      </c>
      <c r="B8" s="6" t="inlineStr">
        <is>
          <t>租赁押金 (通常2-3个月)</t>
        </is>
      </c>
      <c r="C8" s="7" t="n">
        <v>30000</v>
      </c>
      <c r="D8" s="6" t="inlineStr"/>
    </row>
    <row r="9">
      <c r="A9" s="6" t="inlineStr">
        <is>
          <t>房租</t>
        </is>
      </c>
      <c r="B9" s="6" t="inlineStr">
        <is>
          <t>首月房租</t>
        </is>
      </c>
      <c r="C9" s="7" t="n">
        <v>15000</v>
      </c>
      <c r="D9" s="6" t="inlineStr"/>
    </row>
    <row r="10">
      <c r="A10" s="6" t="inlineStr">
        <is>
          <t>中介</t>
        </is>
      </c>
      <c r="B10" s="6" t="inlineStr">
        <is>
          <t>中介佣金</t>
        </is>
      </c>
      <c r="C10" s="7" t="n">
        <v>7500</v>
      </c>
      <c r="D10" s="6" t="inlineStr"/>
    </row>
    <row r="11">
      <c r="A11" s="6" t="inlineStr">
        <is>
          <t>法务</t>
        </is>
      </c>
      <c r="B11" s="6" t="inlineStr">
        <is>
          <t>合同审阅/律师费</t>
        </is>
      </c>
      <c r="C11" s="7" t="n">
        <v>2000</v>
      </c>
      <c r="D11" s="6" t="inlineStr"/>
    </row>
    <row r="12">
      <c r="A12" s="8" t="inlineStr">
        <is>
          <t>本项小计</t>
        </is>
      </c>
      <c r="C12" s="9">
        <f>SUM(C8:C11)</f>
        <v/>
      </c>
    </row>
    <row r="14" ht="28" customHeight="1">
      <c r="A14" s="4" t="inlineStr">
        <is>
          <t>🔨 第二部分：装修与改造费用</t>
        </is>
      </c>
    </row>
    <row r="15" ht="22" customHeight="1">
      <c r="A15" s="5" t="inlineStr">
        <is>
          <t>费用类别</t>
        </is>
      </c>
      <c r="B15" s="5" t="inlineStr">
        <is>
          <t>具体项目</t>
        </is>
      </c>
      <c r="C15" s="5" t="inlineStr">
        <is>
          <t>预计成本 (¥)</t>
        </is>
      </c>
      <c r="D15" s="5" t="inlineStr">
        <is>
          <t>备注</t>
        </is>
      </c>
    </row>
    <row r="16">
      <c r="A16" s="6" t="inlineStr">
        <is>
          <t>装修</t>
        </is>
      </c>
      <c r="B16" s="6" t="inlineStr">
        <is>
          <t>地面铺设</t>
        </is>
      </c>
      <c r="C16" s="7" t="n">
        <v>15000</v>
      </c>
      <c r="D16" s="6" t="inlineStr"/>
    </row>
    <row r="17">
      <c r="A17" s="6" t="inlineStr">
        <is>
          <t>装修</t>
        </is>
      </c>
      <c r="B17" s="6" t="inlineStr">
        <is>
          <t>墙面喷涂/软装</t>
        </is>
      </c>
      <c r="C17" s="7" t="n">
        <v>8000</v>
      </c>
      <c r="D17" s="6" t="inlineStr"/>
    </row>
    <row r="18">
      <c r="A18" s="6" t="inlineStr">
        <is>
          <t>灯光</t>
        </is>
      </c>
      <c r="B18" s="6" t="inlineStr">
        <is>
          <t>灯具采购及安装</t>
        </is>
      </c>
      <c r="C18" s="7" t="n">
        <v>12000</v>
      </c>
      <c r="D18" s="6" t="inlineStr"/>
    </row>
    <row r="19">
      <c r="A19" s="6" t="inlineStr">
        <is>
          <t>电路</t>
        </is>
      </c>
      <c r="B19" s="6" t="inlineStr">
        <is>
          <t>电路改造</t>
        </is>
      </c>
      <c r="C19" s="7" t="n">
        <v>10000</v>
      </c>
      <c r="D19" s="6" t="inlineStr"/>
    </row>
    <row r="20">
      <c r="A20" s="6" t="inlineStr">
        <is>
          <t>招牌</t>
        </is>
      </c>
      <c r="B20" s="6" t="inlineStr">
        <is>
          <t>外部招牌/发光字</t>
        </is>
      </c>
      <c r="C20" s="7" t="n">
        <v>10000</v>
      </c>
      <c r="D20" s="6" t="inlineStr"/>
    </row>
    <row r="21">
      <c r="A21" s="8" t="inlineStr">
        <is>
          <t>本项小计</t>
        </is>
      </c>
      <c r="C21" s="9">
        <f>SUM(C16:C20)</f>
        <v/>
      </c>
    </row>
    <row r="23" ht="28" customHeight="1">
      <c r="A23" s="4" t="inlineStr">
        <is>
          <t>🛒 第三部分：货架与设备 ⭐</t>
        </is>
      </c>
    </row>
    <row r="24" ht="22" customHeight="1">
      <c r="A24" s="5" t="inlineStr">
        <is>
          <t>项目</t>
        </is>
      </c>
      <c r="B24" s="5" t="inlineStr">
        <is>
          <t>数量</t>
        </is>
      </c>
      <c r="C24" s="5" t="inlineStr">
        <is>
          <t>单价 (¥)</t>
        </is>
      </c>
      <c r="D24" s="5" t="inlineStr">
        <is>
          <t>合计 (¥)</t>
        </is>
      </c>
    </row>
    <row r="25">
      <c r="A25" s="6" t="inlineStr">
        <is>
          <t>双面中岛货架 (1.2米宽)</t>
        </is>
      </c>
      <c r="B25" s="10" t="n">
        <v>10</v>
      </c>
      <c r="C25" s="7" t="n">
        <v>2200</v>
      </c>
      <c r="D25" s="11">
        <f>B25*C25</f>
        <v/>
      </c>
    </row>
    <row r="26">
      <c r="A26" s="6" t="inlineStr">
        <is>
          <t>单面靠墙货架</t>
        </is>
      </c>
      <c r="B26" s="10" t="n">
        <v>8</v>
      </c>
      <c r="C26" s="7" t="n">
        <v>1500</v>
      </c>
      <c r="D26" s="11">
        <f>B26*C26</f>
        <v/>
      </c>
    </row>
    <row r="27">
      <c r="A27" s="6" t="inlineStr">
        <is>
          <t>玻璃展示柜</t>
        </is>
      </c>
      <c r="B27" s="10" t="n">
        <v>4</v>
      </c>
      <c r="C27" s="7" t="n">
        <v>2500</v>
      </c>
      <c r="D27" s="11">
        <f>B27*C27</f>
        <v/>
      </c>
    </row>
    <row r="28">
      <c r="A28" s="6" t="inlineStr">
        <is>
          <t>收银台</t>
        </is>
      </c>
      <c r="B28" s="10" t="n">
        <v>1</v>
      </c>
      <c r="C28" s="7" t="n">
        <v>4500</v>
      </c>
      <c r="D28" s="11">
        <f>B28*C28</f>
        <v/>
      </c>
    </row>
    <row r="29">
      <c r="A29" s="8" t="inlineStr">
        <is>
          <t>本项小计</t>
        </is>
      </c>
      <c r="D29" s="9">
        <f>SUM(D25:D28)</f>
        <v/>
      </c>
    </row>
    <row r="32" ht="28" customHeight="1">
      <c r="A32" s="4" t="inlineStr">
        <is>
          <t>🎯 开店总成本汇总</t>
        </is>
      </c>
    </row>
    <row r="33" ht="22" customHeight="1">
      <c r="A33" s="5" t="inlineStr">
        <is>
          <t>📍 空间与租约</t>
        </is>
      </c>
      <c r="B33" s="12" t="n"/>
      <c r="C33" s="13" t="n"/>
      <c r="D33" s="14">
        <f>C12</f>
        <v/>
      </c>
    </row>
    <row r="34">
      <c r="A34" s="6" t="inlineStr">
        <is>
          <t>🔨 装修与改造</t>
        </is>
      </c>
      <c r="D34" s="11">
        <f>C21</f>
        <v/>
      </c>
    </row>
    <row r="35">
      <c r="A35" s="6" t="inlineStr">
        <is>
          <t>🛒 货架与设备</t>
        </is>
      </c>
      <c r="D35" s="11">
        <f>D29</f>
        <v/>
      </c>
    </row>
    <row r="36" ht="30" customHeight="1">
      <c r="A36" s="15" t="inlineStr">
        <is>
          <t>✨ 预估开店总投资</t>
        </is>
      </c>
      <c r="D36" s="16">
        <f>SUM(D33:D35)</f>
        <v/>
      </c>
    </row>
  </sheetData>
  <mergeCells count="13">
    <mergeCell ref="A1:D1"/>
    <mergeCell ref="A23:D23"/>
    <mergeCell ref="A21:B21"/>
    <mergeCell ref="A33:C33"/>
    <mergeCell ref="A36:C36"/>
    <mergeCell ref="A6:D6"/>
    <mergeCell ref="A2:D2"/>
    <mergeCell ref="A34:C34"/>
    <mergeCell ref="A29:C29"/>
    <mergeCell ref="A35:C35"/>
    <mergeCell ref="A32:D32"/>
    <mergeCell ref="A14:D14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2026-01-11T12:10:31Z</dcterms:created>
  <dcterms:modified xmlns:dcterms="http://purl.org/dc/terms/" xmlns:xsi="http://www.w3.org/2001/XMLSchema-instance" xsi:type="dcterms:W3CDTF">2026-01-11T12:10:31Z</dcterms:modified>
</cp:coreProperties>
</file>