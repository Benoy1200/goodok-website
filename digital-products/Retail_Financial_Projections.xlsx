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i val="1"/>
      <color rgb="00666666"/>
      <sz val="10"/>
    </font>
    <font>
      <name val="Arial"/>
      <b val="1"/>
      <color rgb="00FFFFFF"/>
      <sz val="14"/>
    </font>
    <font>
      <name val="Arial"/>
      <b val="1"/>
      <color rgb="002C3E50"/>
      <sz val="11"/>
    </font>
    <font>
      <name val="Arial"/>
      <b val="1"/>
      <color rgb="001E3A5F"/>
      <sz val="11"/>
    </font>
    <font>
      <b val="1"/>
      <color rgb="002E86AB"/>
      <sz val="12"/>
    </font>
    <font>
      <name val="Arial"/>
      <color rgb="002E86AB"/>
      <sz val="10"/>
      <u val="single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5" fillId="0" borderId="0" pivotButton="0" quotePrefix="0" xfId="0"/>
    <xf numFmtId="164" fontId="5" fillId="6" borderId="0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9" fontId="0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5" customHeight="1">
      <c r="A1" s="1" t="inlineStr">
        <is>
          <t>RETAIL STORE FINANCIAL PROJECTIONS</t>
        </is>
      </c>
    </row>
    <row r="2">
      <c r="A2" s="2" t="inlineStr">
        <is>
          <t>Version 1.0 | Goodok Shopfitting</t>
        </is>
      </c>
    </row>
    <row r="4" ht="28" customHeight="1">
      <c r="A4" s="3" t="inlineStr">
        <is>
          <t>SECTION 1: REVENUE ASSUMPTIONS</t>
        </is>
      </c>
    </row>
    <row r="5" ht="22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/>
      <c r="E5" s="4" t="inlineStr"/>
      <c r="F5" s="4" t="inlineStr">
        <is>
          <t>Notes</t>
        </is>
      </c>
    </row>
    <row r="6">
      <c r="A6" s="5" t="inlineStr">
        <is>
          <t>Average Transaction Value</t>
        </is>
      </c>
      <c r="B6" s="6" t="n">
        <v>35</v>
      </c>
      <c r="C6" s="5" t="inlineStr">
        <is>
          <t>$</t>
        </is>
      </c>
      <c r="F6" s="5" t="inlineStr">
        <is>
          <t>Your target average sale</t>
        </is>
      </c>
    </row>
    <row r="7">
      <c r="A7" s="5" t="inlineStr">
        <is>
          <t>Transactions per Day (Month 1)</t>
        </is>
      </c>
      <c r="B7" s="6" t="n">
        <v>15</v>
      </c>
      <c r="C7" s="5" t="inlineStr">
        <is>
          <t>count</t>
        </is>
      </c>
      <c r="F7" s="5" t="inlineStr">
        <is>
          <t>Conservative estimate</t>
        </is>
      </c>
    </row>
    <row r="8">
      <c r="A8" s="5" t="inlineStr">
        <is>
          <t>Monthly Growth Rate</t>
        </is>
      </c>
      <c r="B8" s="6" t="n">
        <v>10</v>
      </c>
      <c r="C8" s="5" t="inlineStr">
        <is>
          <t>%</t>
        </is>
      </c>
      <c r="F8" s="5" t="inlineStr">
        <is>
          <t>Month-over-month</t>
        </is>
      </c>
    </row>
    <row r="9">
      <c r="A9" s="5" t="inlineStr">
        <is>
          <t>Operating Days per Month</t>
        </is>
      </c>
      <c r="B9" s="6" t="n">
        <v>26</v>
      </c>
      <c r="C9" s="5" t="inlineStr">
        <is>
          <t>days</t>
        </is>
      </c>
      <c r="F9" s="5" t="inlineStr">
        <is>
          <t>Adjust for your schedule</t>
        </is>
      </c>
    </row>
    <row r="11" ht="28" customHeight="1">
      <c r="A11" s="3" t="inlineStr">
        <is>
          <t>SECTION 2: MONTHLY COST ASSUMPTIONS</t>
        </is>
      </c>
    </row>
    <row r="12" ht="22" customHeight="1">
      <c r="A12" s="4" t="inlineStr">
        <is>
          <t>Expense Category</t>
        </is>
      </c>
      <c r="B12" s="4" t="inlineStr">
        <is>
          <t>Monthly ($)</t>
        </is>
      </c>
      <c r="C12" s="4" t="inlineStr"/>
      <c r="D12" s="4" t="inlineStr"/>
      <c r="E12" s="4" t="inlineStr"/>
      <c r="F12" s="4" t="inlineStr">
        <is>
          <t>Notes</t>
        </is>
      </c>
    </row>
    <row r="13">
      <c r="A13" s="5" t="inlineStr">
        <is>
          <t>Rent</t>
        </is>
      </c>
      <c r="B13" s="7" t="n">
        <v>2500</v>
      </c>
      <c r="F13" s="5" t="inlineStr">
        <is>
          <t>From your lease</t>
        </is>
      </c>
    </row>
    <row r="14">
      <c r="A14" s="5" t="inlineStr">
        <is>
          <t>Utilities</t>
        </is>
      </c>
      <c r="B14" s="7" t="n">
        <v>400</v>
      </c>
      <c r="F14" s="5" t="inlineStr">
        <is>
          <t>Electric, water, internet</t>
        </is>
      </c>
    </row>
    <row r="15">
      <c r="A15" s="5" t="inlineStr">
        <is>
          <t>Payroll</t>
        </is>
      </c>
      <c r="B15" s="7" t="n">
        <v>4000</v>
      </c>
      <c r="F15" s="5" t="inlineStr">
        <is>
          <t>Including taxes</t>
        </is>
      </c>
    </row>
    <row r="16">
      <c r="A16" s="5" t="inlineStr">
        <is>
          <t>Insurance</t>
        </is>
      </c>
      <c r="B16" s="7" t="n">
        <v>125</v>
      </c>
      <c r="F16" s="5" t="inlineStr">
        <is>
          <t>Annual / 12</t>
        </is>
      </c>
    </row>
    <row r="17">
      <c r="A17" s="5" t="inlineStr">
        <is>
          <t>Marketing</t>
        </is>
      </c>
      <c r="B17" s="7" t="n">
        <v>300</v>
      </c>
      <c r="F17" s="5" t="inlineStr">
        <is>
          <t>Ongoing promotion</t>
        </is>
      </c>
    </row>
    <row r="18">
      <c r="A18" s="5" t="inlineStr">
        <is>
          <t>Supplies &amp; Other</t>
        </is>
      </c>
      <c r="B18" s="7" t="n">
        <v>450</v>
      </c>
      <c r="F18" s="5" t="inlineStr">
        <is>
          <t>Miscellaneous</t>
        </is>
      </c>
    </row>
    <row r="19">
      <c r="A19" s="8" t="inlineStr">
        <is>
          <t>TOTAL FIXED COSTS</t>
        </is>
      </c>
      <c r="B19" s="9">
        <f>SUM(B13:B18)</f>
        <v/>
      </c>
    </row>
    <row r="21">
      <c r="A21" s="5" t="inlineStr">
        <is>
          <t>Cost of Goods Sold (COGS) %</t>
        </is>
      </c>
      <c r="B21" s="6" t="n">
        <v>45</v>
      </c>
      <c r="C21" s="5" t="inlineStr">
        <is>
          <t>%</t>
        </is>
      </c>
      <c r="F21" s="5" t="inlineStr">
        <is>
          <t>Average product cost as % of retail</t>
        </is>
      </c>
    </row>
    <row r="23" ht="28" customHeight="1">
      <c r="A23" s="3" t="inlineStr">
        <is>
          <t>SECTION 3: 12-MONTH REVENUE &amp; PROFIT PROJECTION</t>
        </is>
      </c>
    </row>
    <row r="24" ht="22" customHeight="1">
      <c r="A24" s="4" t="inlineStr">
        <is>
          <t>Metric</t>
        </is>
      </c>
      <c r="B24" s="4" t="inlineStr">
        <is>
          <t>Month 1</t>
        </is>
      </c>
      <c r="C24" s="4" t="inlineStr">
        <is>
          <t>Month 2</t>
        </is>
      </c>
      <c r="D24" s="4" t="inlineStr">
        <is>
          <t>Month 3</t>
        </is>
      </c>
      <c r="E24" s="4" t="inlineStr">
        <is>
          <t>Month 4</t>
        </is>
      </c>
      <c r="F24" s="4" t="inlineStr">
        <is>
          <t>Month 5</t>
        </is>
      </c>
      <c r="G24" s="4" t="inlineStr">
        <is>
          <t>Month 6</t>
        </is>
      </c>
      <c r="H24" s="4" t="inlineStr">
        <is>
          <t>Month 7</t>
        </is>
      </c>
      <c r="I24" s="4" t="inlineStr">
        <is>
          <t>Month 8</t>
        </is>
      </c>
      <c r="J24" s="4" t="inlineStr">
        <is>
          <t>Month 9</t>
        </is>
      </c>
      <c r="K24" s="4" t="inlineStr">
        <is>
          <t>Month 10</t>
        </is>
      </c>
      <c r="L24" s="4" t="inlineStr">
        <is>
          <t>Month 11</t>
        </is>
      </c>
      <c r="M24" s="4" t="inlineStr">
        <is>
          <t>Month 12</t>
        </is>
      </c>
      <c r="N24" s="4" t="inlineStr">
        <is>
          <t>TOTAL</t>
        </is>
      </c>
    </row>
    <row r="25">
      <c r="A25" s="5" t="inlineStr">
        <is>
          <t>Transactions/Day</t>
        </is>
      </c>
      <c r="B25" s="5">
        <f>$B$7</f>
        <v/>
      </c>
      <c r="C25" s="5">
        <f>ROUND(B25*(1+$B$8/100),0)</f>
        <v/>
      </c>
      <c r="D25" s="5">
        <f>ROUND(C25*(1+$B$8/100),0)</f>
        <v/>
      </c>
      <c r="E25" s="5">
        <f>ROUND(D25*(1+$B$8/100),0)</f>
        <v/>
      </c>
      <c r="F25" s="5">
        <f>ROUND(E25*(1+$B$8/100),0)</f>
        <v/>
      </c>
      <c r="G25" s="5">
        <f>ROUND(F25*(1+$B$8/100),0)</f>
        <v/>
      </c>
      <c r="H25" s="5">
        <f>ROUND(G25*(1+$B$8/100),0)</f>
        <v/>
      </c>
      <c r="I25" s="5">
        <f>ROUND(H25*(1+$B$8/100),0)</f>
        <v/>
      </c>
      <c r="J25" s="5">
        <f>ROUND(I25*(1+$B$8/100),0)</f>
        <v/>
      </c>
      <c r="K25" s="5">
        <f>ROUND(J25*(1+$B$8/100),0)</f>
        <v/>
      </c>
      <c r="L25" s="5">
        <f>ROUND(K25*(1+$B$8/100),0)</f>
        <v/>
      </c>
      <c r="M25" s="5">
        <f>ROUND(L25*(1+$B$8/100),0)</f>
        <v/>
      </c>
      <c r="N25" s="5">
        <f>SUM(B25:M25)</f>
        <v/>
      </c>
    </row>
    <row r="26">
      <c r="A26" s="5" t="inlineStr">
        <is>
          <t>Monthly Transactions</t>
        </is>
      </c>
      <c r="B26" s="5">
        <f>B25*$B$9</f>
        <v/>
      </c>
      <c r="C26" s="5">
        <f>C25*$B$9</f>
        <v/>
      </c>
      <c r="D26" s="5">
        <f>D25*$B$9</f>
        <v/>
      </c>
      <c r="E26" s="5">
        <f>E25*$B$9</f>
        <v/>
      </c>
      <c r="F26" s="5">
        <f>F25*$B$9</f>
        <v/>
      </c>
      <c r="G26" s="5">
        <f>G25*$B$9</f>
        <v/>
      </c>
      <c r="H26" s="5">
        <f>H25*$B$9</f>
        <v/>
      </c>
      <c r="I26" s="5">
        <f>I25*$B$9</f>
        <v/>
      </c>
      <c r="J26" s="5">
        <f>J25*$B$9</f>
        <v/>
      </c>
      <c r="K26" s="5">
        <f>K25*$B$9</f>
        <v/>
      </c>
      <c r="L26" s="5">
        <f>L25*$B$9</f>
        <v/>
      </c>
      <c r="M26" s="5">
        <f>M25*$B$9</f>
        <v/>
      </c>
      <c r="N26" s="5">
        <f>SUM(B26:M26)</f>
        <v/>
      </c>
    </row>
    <row r="27">
      <c r="A27" s="5" t="inlineStr">
        <is>
          <t>Revenue</t>
        </is>
      </c>
      <c r="B27" s="10">
        <f>B26*$B$6</f>
        <v/>
      </c>
      <c r="C27" s="10">
        <f>C26*$B$6</f>
        <v/>
      </c>
      <c r="D27" s="10">
        <f>D26*$B$6</f>
        <v/>
      </c>
      <c r="E27" s="10">
        <f>E26*$B$6</f>
        <v/>
      </c>
      <c r="F27" s="10">
        <f>F26*$B$6</f>
        <v/>
      </c>
      <c r="G27" s="10">
        <f>G26*$B$6</f>
        <v/>
      </c>
      <c r="H27" s="10">
        <f>H26*$B$6</f>
        <v/>
      </c>
      <c r="I27" s="10">
        <f>I26*$B$6</f>
        <v/>
      </c>
      <c r="J27" s="10">
        <f>J26*$B$6</f>
        <v/>
      </c>
      <c r="K27" s="10">
        <f>K26*$B$6</f>
        <v/>
      </c>
      <c r="L27" s="10">
        <f>L26*$B$6</f>
        <v/>
      </c>
      <c r="M27" s="10">
        <f>M26*$B$6</f>
        <v/>
      </c>
      <c r="N27" s="10">
        <f>SUM(B27:M27)</f>
        <v/>
      </c>
    </row>
    <row r="28">
      <c r="A28" s="5" t="inlineStr">
        <is>
          <t>COGS</t>
        </is>
      </c>
      <c r="B28" s="10">
        <f>B27*$B$21/100</f>
        <v/>
      </c>
      <c r="C28" s="10">
        <f>C27*$B$21/100</f>
        <v/>
      </c>
      <c r="D28" s="10">
        <f>D27*$B$21/100</f>
        <v/>
      </c>
      <c r="E28" s="10">
        <f>E27*$B$21/100</f>
        <v/>
      </c>
      <c r="F28" s="10">
        <f>F27*$B$21/100</f>
        <v/>
      </c>
      <c r="G28" s="10">
        <f>G27*$B$21/100</f>
        <v/>
      </c>
      <c r="H28" s="10">
        <f>H27*$B$21/100</f>
        <v/>
      </c>
      <c r="I28" s="10">
        <f>I27*$B$21/100</f>
        <v/>
      </c>
      <c r="J28" s="10">
        <f>J27*$B$21/100</f>
        <v/>
      </c>
      <c r="K28" s="10">
        <f>K27*$B$21/100</f>
        <v/>
      </c>
      <c r="L28" s="10">
        <f>L27*$B$21/100</f>
        <v/>
      </c>
      <c r="M28" s="10">
        <f>M27*$B$21/100</f>
        <v/>
      </c>
      <c r="N28" s="10">
        <f>SUM(B28:M28)</f>
        <v/>
      </c>
    </row>
    <row r="29">
      <c r="A29" s="5" t="inlineStr">
        <is>
          <t>Gross Profit</t>
        </is>
      </c>
      <c r="B29" s="10">
        <f>B27-B28</f>
        <v/>
      </c>
      <c r="C29" s="10">
        <f>C27-C28</f>
        <v/>
      </c>
      <c r="D29" s="10">
        <f>D27-D28</f>
        <v/>
      </c>
      <c r="E29" s="10">
        <f>E27-E28</f>
        <v/>
      </c>
      <c r="F29" s="10">
        <f>F27-F28</f>
        <v/>
      </c>
      <c r="G29" s="10">
        <f>G27-G28</f>
        <v/>
      </c>
      <c r="H29" s="10">
        <f>H27-H28</f>
        <v/>
      </c>
      <c r="I29" s="10">
        <f>I27-I28</f>
        <v/>
      </c>
      <c r="J29" s="10">
        <f>J27-J28</f>
        <v/>
      </c>
      <c r="K29" s="10">
        <f>K27-K28</f>
        <v/>
      </c>
      <c r="L29" s="10">
        <f>L27-L28</f>
        <v/>
      </c>
      <c r="M29" s="10">
        <f>M27-M28</f>
        <v/>
      </c>
      <c r="N29" s="10">
        <f>SUM(B29:M29)</f>
        <v/>
      </c>
    </row>
    <row r="30">
      <c r="A30" s="5" t="inlineStr">
        <is>
          <t>Fixed Costs</t>
        </is>
      </c>
      <c r="B30" s="10">
        <f>$B$19</f>
        <v/>
      </c>
      <c r="C30" s="10">
        <f>$B$19</f>
        <v/>
      </c>
      <c r="D30" s="10">
        <f>$B$19</f>
        <v/>
      </c>
      <c r="E30" s="10">
        <f>$B$19</f>
        <v/>
      </c>
      <c r="F30" s="10">
        <f>$B$19</f>
        <v/>
      </c>
      <c r="G30" s="10">
        <f>$B$19</f>
        <v/>
      </c>
      <c r="H30" s="10">
        <f>$B$19</f>
        <v/>
      </c>
      <c r="I30" s="10">
        <f>$B$19</f>
        <v/>
      </c>
      <c r="J30" s="10">
        <f>$B$19</f>
        <v/>
      </c>
      <c r="K30" s="10">
        <f>$B$19</f>
        <v/>
      </c>
      <c r="L30" s="10">
        <f>$B$19</f>
        <v/>
      </c>
      <c r="M30" s="10">
        <f>$B$19</f>
        <v/>
      </c>
      <c r="N30" s="10">
        <f>SUM(B30:M30)</f>
        <v/>
      </c>
    </row>
    <row r="31">
      <c r="A31" s="11" t="inlineStr">
        <is>
          <t>Net Profit</t>
        </is>
      </c>
      <c r="B31" s="12">
        <f>B29-B30</f>
        <v/>
      </c>
      <c r="C31" s="12">
        <f>C29-C30</f>
        <v/>
      </c>
      <c r="D31" s="12">
        <f>D29-D30</f>
        <v/>
      </c>
      <c r="E31" s="12">
        <f>E29-E30</f>
        <v/>
      </c>
      <c r="F31" s="12">
        <f>F29-F30</f>
        <v/>
      </c>
      <c r="G31" s="12">
        <f>G29-G30</f>
        <v/>
      </c>
      <c r="H31" s="12">
        <f>H29-H30</f>
        <v/>
      </c>
      <c r="I31" s="12">
        <f>I29-I30</f>
        <v/>
      </c>
      <c r="J31" s="12">
        <f>J29-J30</f>
        <v/>
      </c>
      <c r="K31" s="12">
        <f>K29-K30</f>
        <v/>
      </c>
      <c r="L31" s="12">
        <f>L29-L30</f>
        <v/>
      </c>
      <c r="M31" s="12">
        <f>M29-M30</f>
        <v/>
      </c>
      <c r="N31" s="12">
        <f>SUM(B31:M31)</f>
        <v/>
      </c>
    </row>
    <row r="32">
      <c r="A32" s="5" t="inlineStr">
        <is>
          <t>Profit Margin</t>
        </is>
      </c>
      <c r="B32" s="13">
        <f>IF(B27&gt;0,B31/B27,0)</f>
        <v/>
      </c>
      <c r="C32" s="13">
        <f>IF(C27&gt;0,C31/C27,0)</f>
        <v/>
      </c>
      <c r="D32" s="13">
        <f>IF(D27&gt;0,D31/D27,0)</f>
        <v/>
      </c>
      <c r="E32" s="13">
        <f>IF(E27&gt;0,E31/E27,0)</f>
        <v/>
      </c>
      <c r="F32" s="13">
        <f>IF(F27&gt;0,F31/F27,0)</f>
        <v/>
      </c>
      <c r="G32" s="13">
        <f>IF(G27&gt;0,G31/G27,0)</f>
        <v/>
      </c>
      <c r="H32" s="13">
        <f>IF(H27&gt;0,H31/H27,0)</f>
        <v/>
      </c>
      <c r="I32" s="13">
        <f>IF(I27&gt;0,I31/I27,0)</f>
        <v/>
      </c>
      <c r="J32" s="13">
        <f>IF(J27&gt;0,J31/J27,0)</f>
        <v/>
      </c>
      <c r="K32" s="13">
        <f>IF(K27&gt;0,K31/K27,0)</f>
        <v/>
      </c>
      <c r="L32" s="13">
        <f>IF(L27&gt;0,L31/L27,0)</f>
        <v/>
      </c>
      <c r="M32" s="13">
        <f>IF(M27&gt;0,M31/M27,0)</f>
        <v/>
      </c>
      <c r="N32" s="13">
        <f>AVERAGE(B32:M32)</f>
        <v/>
      </c>
    </row>
    <row r="35" ht="28" customHeight="1">
      <c r="A35" s="3" t="inlineStr">
        <is>
          <t>SECTION 4: BREAK-EVEN ANALYSIS</t>
        </is>
      </c>
    </row>
    <row r="36">
      <c r="A36" s="5" t="inlineStr">
        <is>
          <t>Total Fixed Costs (Monthly):</t>
        </is>
      </c>
      <c r="B36" s="14">
        <f>$B$19</f>
        <v/>
      </c>
    </row>
    <row r="37">
      <c r="A37" s="5" t="inlineStr">
        <is>
          <t>Gross Margin:</t>
        </is>
      </c>
      <c r="B37" s="15">
        <f>1-$B$21/100</f>
        <v/>
      </c>
    </row>
    <row r="38">
      <c r="A38" s="5" t="inlineStr">
        <is>
          <t>Break-Even Revenue (Monthly):</t>
        </is>
      </c>
      <c r="B38" s="16">
        <f>$B$19/(1-$B$21/100)</f>
        <v/>
      </c>
    </row>
    <row r="39">
      <c r="A39" s="5" t="inlineStr">
        <is>
          <t>Break-Even Transactions/Day:</t>
        </is>
      </c>
      <c r="B39" s="17">
        <f>B38/($B$6*$B$9)</f>
        <v/>
      </c>
    </row>
    <row r="42">
      <c r="A42" s="18" t="inlineStr">
        <is>
          <t>Save on fixtures to improve your margins!</t>
        </is>
      </c>
    </row>
    <row r="43">
      <c r="A43" s="19" t="inlineStr">
        <is>
          <t>www.goodokshop.com | info@goodokshop.com</t>
        </is>
      </c>
    </row>
  </sheetData>
  <mergeCells count="8">
    <mergeCell ref="A11:F11"/>
    <mergeCell ref="A42:F42"/>
    <mergeCell ref="A43:F43"/>
    <mergeCell ref="A2:N2"/>
    <mergeCell ref="A35:F35"/>
    <mergeCell ref="A4:F4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2026-01-10T16:56:30Z</dcterms:created>
  <dcterms:modified xmlns:dcterms="http://purl.org/dc/terms/" xmlns:xsi="http://www.w3.org/2001/XMLSchema-instance" xsi:type="dcterms:W3CDTF">2026-01-10T16:56:30Z</dcterms:modified>
</cp:coreProperties>
</file>