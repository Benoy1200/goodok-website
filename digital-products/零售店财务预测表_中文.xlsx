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i val="1"/>
      <color rgb="00666666"/>
      <sz val="10"/>
    </font>
    <font>
      <name val="微软雅黑"/>
      <b val="1"/>
      <color rgb="00FFFFFF"/>
      <sz val="14"/>
    </font>
    <font>
      <name val="微软雅黑"/>
      <b val="1"/>
      <color rgb="002C3E50"/>
      <sz val="1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E86AB"/>
        <bgColor rgb="002E86AB"/>
      </patternFill>
    </fill>
    <fill>
      <patternFill patternType="solid">
        <fgColor rgb="00F8F9FA"/>
        <bgColor rgb="00F8F9FA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5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5" customHeight="1">
      <c r="A1" s="1" t="inlineStr">
        <is>
          <t>💰 零售店12个月财务预测表</t>
        </is>
      </c>
    </row>
    <row r="2" ht="20" customHeight="1">
      <c r="A2" s="2" t="inlineStr">
        <is>
          <t>版本 1.0 | Goodok 货架策划</t>
        </is>
      </c>
    </row>
    <row r="6" ht="28" customHeight="1">
      <c r="A6" s="3" t="inlineStr">
        <is>
          <t>核心盈利预测 (每月)</t>
        </is>
      </c>
    </row>
    <row r="7" ht="22" customHeight="1">
      <c r="A7" s="4" t="inlineStr">
        <is>
          <t>月份</t>
        </is>
      </c>
      <c r="B7" s="4" t="inlineStr">
        <is>
          <t>预计收入</t>
        </is>
      </c>
      <c r="C7" s="4" t="inlineStr">
        <is>
          <t>成本 (COGS)</t>
        </is>
      </c>
      <c r="D7" s="4" t="inlineStr">
        <is>
          <t>固定支出</t>
        </is>
      </c>
      <c r="E7" s="4" t="inlineStr">
        <is>
          <t>净利润</t>
        </is>
      </c>
      <c r="F7" s="4" t="inlineStr">
        <is>
          <t>利润率</t>
        </is>
      </c>
    </row>
    <row r="8">
      <c r="A8" s="5" t="inlineStr">
        <is>
          <t>1月</t>
        </is>
      </c>
      <c r="B8" s="6" t="n">
        <v>50000</v>
      </c>
      <c r="C8" s="7">
        <f>B8*0.5</f>
        <v/>
      </c>
      <c r="D8" s="6" t="n">
        <v>15000</v>
      </c>
      <c r="E8" s="7">
        <f>B8-C8-D8</f>
        <v/>
      </c>
      <c r="F8" s="8">
        <f>E8/B8</f>
        <v/>
      </c>
    </row>
    <row r="9">
      <c r="A9" s="5" t="inlineStr">
        <is>
          <t>2月</t>
        </is>
      </c>
      <c r="B9" s="6" t="n">
        <v>50000</v>
      </c>
      <c r="C9" s="7">
        <f>B9*0.5</f>
        <v/>
      </c>
      <c r="D9" s="6" t="n">
        <v>15000</v>
      </c>
      <c r="E9" s="7">
        <f>B9-C9-D9</f>
        <v/>
      </c>
      <c r="F9" s="8">
        <f>E9/B9</f>
        <v/>
      </c>
    </row>
    <row r="10">
      <c r="A10" s="5" t="inlineStr">
        <is>
          <t>3月</t>
        </is>
      </c>
      <c r="B10" s="6" t="n">
        <v>50000</v>
      </c>
      <c r="C10" s="7">
        <f>B10*0.5</f>
        <v/>
      </c>
      <c r="D10" s="6" t="n">
        <v>15000</v>
      </c>
      <c r="E10" s="7">
        <f>B10-C10-D10</f>
        <v/>
      </c>
      <c r="F10" s="8">
        <f>E10/B10</f>
        <v/>
      </c>
    </row>
    <row r="11">
      <c r="A11" s="5" t="inlineStr">
        <is>
          <t>4月</t>
        </is>
      </c>
      <c r="B11" s="6" t="n">
        <v>50000</v>
      </c>
      <c r="C11" s="7">
        <f>B11*0.5</f>
        <v/>
      </c>
      <c r="D11" s="6" t="n">
        <v>15000</v>
      </c>
      <c r="E11" s="7">
        <f>B11-C11-D11</f>
        <v/>
      </c>
      <c r="F11" s="8">
        <f>E11/B11</f>
        <v/>
      </c>
    </row>
    <row r="12">
      <c r="A12" s="5" t="inlineStr">
        <is>
          <t>5月</t>
        </is>
      </c>
      <c r="B12" s="6" t="n">
        <v>50000</v>
      </c>
      <c r="C12" s="7">
        <f>B12*0.5</f>
        <v/>
      </c>
      <c r="D12" s="6" t="n">
        <v>15000</v>
      </c>
      <c r="E12" s="7">
        <f>B12-C12-D12</f>
        <v/>
      </c>
      <c r="F12" s="8">
        <f>E12/B12</f>
        <v/>
      </c>
    </row>
    <row r="13">
      <c r="A13" s="5" t="inlineStr">
        <is>
          <t>6月</t>
        </is>
      </c>
      <c r="B13" s="6" t="n">
        <v>50000</v>
      </c>
      <c r="C13" s="7">
        <f>B13*0.5</f>
        <v/>
      </c>
      <c r="D13" s="6" t="n">
        <v>15000</v>
      </c>
      <c r="E13" s="7">
        <f>B13-C13-D13</f>
        <v/>
      </c>
      <c r="F13" s="8">
        <f>E13/B13</f>
        <v/>
      </c>
    </row>
    <row r="14">
      <c r="A14" s="5" t="inlineStr">
        <is>
          <t>7月</t>
        </is>
      </c>
      <c r="B14" s="6" t="n">
        <v>50000</v>
      </c>
      <c r="C14" s="7">
        <f>B14*0.5</f>
        <v/>
      </c>
      <c r="D14" s="6" t="n">
        <v>15000</v>
      </c>
      <c r="E14" s="7">
        <f>B14-C14-D14</f>
        <v/>
      </c>
      <c r="F14" s="8">
        <f>E14/B14</f>
        <v/>
      </c>
    </row>
    <row r="15">
      <c r="A15" s="5" t="inlineStr">
        <is>
          <t>8月</t>
        </is>
      </c>
      <c r="B15" s="6" t="n">
        <v>50000</v>
      </c>
      <c r="C15" s="7">
        <f>B15*0.5</f>
        <v/>
      </c>
      <c r="D15" s="6" t="n">
        <v>15000</v>
      </c>
      <c r="E15" s="7">
        <f>B15-C15-D15</f>
        <v/>
      </c>
      <c r="F15" s="8">
        <f>E15/B15</f>
        <v/>
      </c>
    </row>
    <row r="16">
      <c r="A16" s="5" t="inlineStr">
        <is>
          <t>9月</t>
        </is>
      </c>
      <c r="B16" s="6" t="n">
        <v>50000</v>
      </c>
      <c r="C16" s="7">
        <f>B16*0.5</f>
        <v/>
      </c>
      <c r="D16" s="6" t="n">
        <v>15000</v>
      </c>
      <c r="E16" s="7">
        <f>B16-C16-D16</f>
        <v/>
      </c>
      <c r="F16" s="8">
        <f>E16/B16</f>
        <v/>
      </c>
    </row>
    <row r="17">
      <c r="A17" s="5" t="inlineStr">
        <is>
          <t>10月</t>
        </is>
      </c>
      <c r="B17" s="6" t="n">
        <v>50000</v>
      </c>
      <c r="C17" s="7">
        <f>B17*0.5</f>
        <v/>
      </c>
      <c r="D17" s="6" t="n">
        <v>15000</v>
      </c>
      <c r="E17" s="7">
        <f>B17-C17-D17</f>
        <v/>
      </c>
      <c r="F17" s="8">
        <f>E17/B17</f>
        <v/>
      </c>
    </row>
    <row r="18">
      <c r="A18" s="5" t="inlineStr">
        <is>
          <t>11月</t>
        </is>
      </c>
      <c r="B18" s="6" t="n">
        <v>50000</v>
      </c>
      <c r="C18" s="7">
        <f>B18*0.5</f>
        <v/>
      </c>
      <c r="D18" s="6" t="n">
        <v>15000</v>
      </c>
      <c r="E18" s="7">
        <f>B18-C18-D18</f>
        <v/>
      </c>
      <c r="F18" s="8">
        <f>E18/B18</f>
        <v/>
      </c>
    </row>
    <row r="19">
      <c r="A19" s="5" t="inlineStr">
        <is>
          <t>12月</t>
        </is>
      </c>
      <c r="B19" s="6" t="n">
        <v>50000</v>
      </c>
      <c r="C19" s="7">
        <f>B19*0.5</f>
        <v/>
      </c>
      <c r="D19" s="6" t="n">
        <v>15000</v>
      </c>
      <c r="E19" s="7">
        <f>B19-C19-D19</f>
        <v/>
      </c>
      <c r="F19" s="8">
        <f>E19/B19</f>
        <v/>
      </c>
    </row>
  </sheetData>
  <mergeCells count="3">
    <mergeCell ref="A2:F2"/>
    <mergeCell ref="A6:F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2026-01-11T12:10:31Z</dcterms:created>
  <dcterms:modified xmlns:dcterms="http://purl.org/dc/terms/" xmlns:xsi="http://www.w3.org/2001/XMLSchema-instance" xsi:type="dcterms:W3CDTF">2026-01-11T12:10:31Z</dcterms:modified>
</cp:coreProperties>
</file>