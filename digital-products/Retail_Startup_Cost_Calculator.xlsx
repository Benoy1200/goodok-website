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66666"/>
      <sz val="10"/>
    </font>
    <font>
      <b val="1"/>
      <color rgb="002E86AB"/>
      <sz val="10"/>
    </font>
    <font>
      <name val="Arial"/>
      <b val="1"/>
      <color rgb="00FFFFFF"/>
      <sz val="14"/>
    </font>
    <font>
      <name val="Arial"/>
      <b val="1"/>
      <color rgb="002C3E50"/>
      <sz val="11"/>
    </font>
    <font>
      <name val="Arial"/>
      <b val="1"/>
      <color rgb="001E3A5F"/>
      <sz val="11"/>
    </font>
    <font>
      <b val="1"/>
      <color rgb="002E86AB"/>
      <sz val="12"/>
    </font>
    <font>
      <name val="Arial"/>
      <color rgb="002E86AB"/>
      <sz val="10"/>
      <u val="single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  <fill>
      <patternFill patternType="solid">
        <fgColor rgb="00E8F4FD"/>
        <b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5" borderId="1" pivotButton="0" quotePrefix="0" xfId="0"/>
    <xf numFmtId="0" fontId="6" fillId="0" borderId="0" pivotButton="0" quotePrefix="0" xfId="0"/>
    <xf numFmtId="164" fontId="6" fillId="6" borderId="1" pivotButton="0" quotePrefix="0" xfId="0"/>
    <xf numFmtId="0" fontId="0" fillId="5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0" pivotButton="0" quotePrefix="0" xfId="0"/>
    <xf numFmtId="164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45" customWidth="1" min="4" max="4"/>
  </cols>
  <sheetData>
    <row r="1" ht="35" customHeight="1">
      <c r="A1" s="1" t="inlineStr">
        <is>
          <t>RETAIL STORE STARTUP COST CALCULATOR</t>
        </is>
      </c>
    </row>
    <row r="2">
      <c r="A2" s="2" t="inlineStr">
        <is>
          <t>Version 1.0 | Goodok Shopfitting | www.goodokshop.com</t>
        </is>
      </c>
    </row>
    <row r="4">
      <c r="A4" s="3" t="inlineStr">
        <is>
          <t>Instructions: Fill in the YELLOW cells with your estimates. Formulas will calculate totals automatically.</t>
        </is>
      </c>
    </row>
    <row r="6" ht="28" customHeight="1">
      <c r="A6" s="4" t="inlineStr">
        <is>
          <t>SECTION 1: LOCATION &amp; LEASE COSTS</t>
        </is>
      </c>
    </row>
    <row r="7" ht="22" customHeight="1">
      <c r="A7" s="5" t="inlineStr">
        <is>
          <t>Category</t>
        </is>
      </c>
      <c r="B7" s="5" t="inlineStr">
        <is>
          <t>Item</t>
        </is>
      </c>
      <c r="C7" s="5" t="inlineStr">
        <is>
          <t>Estimated Cost ($)</t>
        </is>
      </c>
      <c r="D7" s="5" t="inlineStr">
        <is>
          <t>Notes</t>
        </is>
      </c>
    </row>
    <row r="8">
      <c r="A8" s="6" t="inlineStr">
        <is>
          <t>Lease</t>
        </is>
      </c>
      <c r="B8" s="6" t="inlineStr">
        <is>
          <t>Security Deposit (First &amp; Last Month)</t>
        </is>
      </c>
      <c r="C8" s="7" t="n">
        <v>5000</v>
      </c>
      <c r="D8" s="6" t="inlineStr">
        <is>
          <t>Typically 2-3 months rent</t>
        </is>
      </c>
    </row>
    <row r="9">
      <c r="A9" s="6" t="inlineStr">
        <is>
          <t>Lease</t>
        </is>
      </c>
      <c r="B9" s="6" t="inlineStr">
        <is>
          <t>First Month's Rent</t>
        </is>
      </c>
      <c r="C9" s="7" t="n">
        <v>2500</v>
      </c>
      <c r="D9" s="6" t="inlineStr"/>
    </row>
    <row r="10">
      <c r="A10" s="6" t="inlineStr">
        <is>
          <t>Lease</t>
        </is>
      </c>
      <c r="B10" s="6" t="inlineStr">
        <is>
          <t>Broker/Agent Fee</t>
        </is>
      </c>
      <c r="C10" s="7" t="n">
        <v>1250</v>
      </c>
      <c r="D10" s="6" t="inlineStr">
        <is>
          <t>Usually 0.5-1 month rent</t>
        </is>
      </c>
    </row>
    <row r="11">
      <c r="A11" s="6" t="inlineStr">
        <is>
          <t>Lease</t>
        </is>
      </c>
      <c r="B11" s="6" t="inlineStr">
        <is>
          <t>Lease Negotiation/Legal Fees</t>
        </is>
      </c>
      <c r="C11" s="7" t="n">
        <v>500</v>
      </c>
      <c r="D11" s="6" t="inlineStr"/>
    </row>
    <row r="12">
      <c r="A12" s="8" t="inlineStr">
        <is>
          <t>SUBTOTAL: LOCATION &amp; LEASE</t>
        </is>
      </c>
      <c r="C12" s="9">
        <f>SUM(C8:C11)</f>
        <v/>
      </c>
    </row>
    <row r="14" ht="28" customHeight="1">
      <c r="A14" s="4" t="inlineStr">
        <is>
          <t>SECTION 2: STORE BUILD-OUT &amp; RENOVATION</t>
        </is>
      </c>
    </row>
    <row r="15" ht="22" customHeight="1">
      <c r="A15" s="5" t="inlineStr">
        <is>
          <t>Category</t>
        </is>
      </c>
      <c r="B15" s="5" t="inlineStr">
        <is>
          <t>Item</t>
        </is>
      </c>
      <c r="C15" s="5" t="inlineStr">
        <is>
          <t>Estimated Cost ($)</t>
        </is>
      </c>
      <c r="D15" s="5" t="inlineStr">
        <is>
          <t>Notes</t>
        </is>
      </c>
    </row>
    <row r="16">
      <c r="A16" s="6" t="inlineStr">
        <is>
          <t>Renovation</t>
        </is>
      </c>
      <c r="B16" s="6" t="inlineStr">
        <is>
          <t>Flooring</t>
        </is>
      </c>
      <c r="C16" s="7" t="n">
        <v>3000</v>
      </c>
      <c r="D16" s="6" t="inlineStr">
        <is>
          <t>Vinyl, tile, or hardwood</t>
        </is>
      </c>
    </row>
    <row r="17">
      <c r="A17" s="6" t="inlineStr">
        <is>
          <t>Renovation</t>
        </is>
      </c>
      <c r="B17" s="6" t="inlineStr">
        <is>
          <t>Painting</t>
        </is>
      </c>
      <c r="C17" s="7" t="n">
        <v>1000</v>
      </c>
      <c r="D17" s="6" t="inlineStr"/>
    </row>
    <row r="18">
      <c r="A18" s="6" t="inlineStr">
        <is>
          <t>Renovation</t>
        </is>
      </c>
      <c r="B18" s="6" t="inlineStr">
        <is>
          <t>Lighting Installation</t>
        </is>
      </c>
      <c r="C18" s="7" t="n">
        <v>2500</v>
      </c>
      <c r="D18" s="6" t="inlineStr">
        <is>
          <t>LED fixtures recommended</t>
        </is>
      </c>
    </row>
    <row r="19">
      <c r="A19" s="6" t="inlineStr">
        <is>
          <t>Renovation</t>
        </is>
      </c>
      <c r="B19" s="6" t="inlineStr">
        <is>
          <t>Electrical Work</t>
        </is>
      </c>
      <c r="C19" s="7" t="n">
        <v>1500</v>
      </c>
      <c r="D19" s="6" t="inlineStr"/>
    </row>
    <row r="20">
      <c r="A20" s="6" t="inlineStr">
        <is>
          <t>Renovation</t>
        </is>
      </c>
      <c r="B20" s="6" t="inlineStr">
        <is>
          <t>Plumbing (if needed)</t>
        </is>
      </c>
      <c r="C20" s="7" t="n">
        <v>0</v>
      </c>
      <c r="D20" s="6" t="inlineStr"/>
    </row>
    <row r="21">
      <c r="A21" s="6" t="inlineStr">
        <is>
          <t>Renovation</t>
        </is>
      </c>
      <c r="B21" s="6" t="inlineStr">
        <is>
          <t>HVAC/Climate Control</t>
        </is>
      </c>
      <c r="C21" s="7" t="n">
        <v>1000</v>
      </c>
      <c r="D21" s="6" t="inlineStr"/>
    </row>
    <row r="22">
      <c r="A22" s="6" t="inlineStr">
        <is>
          <t>Renovation</t>
        </is>
      </c>
      <c r="B22" s="6" t="inlineStr">
        <is>
          <t>Signage (Exterior)</t>
        </is>
      </c>
      <c r="C22" s="7" t="n">
        <v>1500</v>
      </c>
      <c r="D22" s="6" t="inlineStr"/>
    </row>
    <row r="23">
      <c r="A23" s="6" t="inlineStr">
        <is>
          <t>Renovation</t>
        </is>
      </c>
      <c r="B23" s="6" t="inlineStr">
        <is>
          <t>Signage (Interior)</t>
        </is>
      </c>
      <c r="C23" s="7" t="n">
        <v>500</v>
      </c>
      <c r="D23" s="6" t="inlineStr"/>
    </row>
    <row r="24">
      <c r="A24" s="6" t="inlineStr">
        <is>
          <t>Renovation</t>
        </is>
      </c>
      <c r="B24" s="6" t="inlineStr">
        <is>
          <t>Permits &amp; Inspections</t>
        </is>
      </c>
      <c r="C24" s="7" t="n">
        <v>300</v>
      </c>
      <c r="D24" s="6" t="inlineStr"/>
    </row>
    <row r="25">
      <c r="A25" s="8" t="inlineStr">
        <is>
          <t>SUBTOTAL: RENOVATION</t>
        </is>
      </c>
      <c r="C25" s="9">
        <f>SUM(C16:C24)</f>
        <v/>
      </c>
    </row>
    <row r="27" ht="28" customHeight="1">
      <c r="A27" s="4" t="inlineStr">
        <is>
          <t>SECTION 3: FIXTURES &amp; EQUIPMENT</t>
        </is>
      </c>
    </row>
    <row r="28" ht="22" customHeight="1">
      <c r="A28" s="5" t="inlineStr">
        <is>
          <t>Item</t>
        </is>
      </c>
      <c r="B28" s="5" t="inlineStr">
        <is>
          <t>Qty</t>
        </is>
      </c>
      <c r="C28" s="5" t="inlineStr">
        <is>
          <t>Unit Price ($)</t>
        </is>
      </c>
      <c r="D28" s="5" t="inlineStr">
        <is>
          <t>Total ($)</t>
        </is>
      </c>
    </row>
    <row r="29">
      <c r="A29" s="6" t="inlineStr">
        <is>
          <t>Gondola Shelving Units (Double-sided, 4ft)</t>
        </is>
      </c>
      <c r="B29" s="10" t="n">
        <v>10</v>
      </c>
      <c r="C29" s="7" t="n">
        <v>350</v>
      </c>
      <c r="D29" s="11">
        <f>B29*C29</f>
        <v/>
      </c>
    </row>
    <row r="30">
      <c r="A30" s="6" t="inlineStr">
        <is>
          <t>Wall Shelving Units (Single-sided)</t>
        </is>
      </c>
      <c r="B30" s="10" t="n">
        <v>8</v>
      </c>
      <c r="C30" s="7" t="n">
        <v>250</v>
      </c>
      <c r="D30" s="11">
        <f>B30*C30</f>
        <v/>
      </c>
    </row>
    <row r="31">
      <c r="A31" s="6" t="inlineStr">
        <is>
          <t>Display Cases (Glass)</t>
        </is>
      </c>
      <c r="B31" s="10" t="n">
        <v>4</v>
      </c>
      <c r="C31" s="7" t="n">
        <v>400</v>
      </c>
      <c r="D31" s="11">
        <f>B31*C31</f>
        <v/>
      </c>
    </row>
    <row r="32">
      <c r="A32" s="6" t="inlineStr">
        <is>
          <t>Checkout Counter</t>
        </is>
      </c>
      <c r="B32" s="10" t="n">
        <v>1</v>
      </c>
      <c r="C32" s="7" t="n">
        <v>800</v>
      </c>
      <c r="D32" s="11">
        <f>B32*C32</f>
        <v/>
      </c>
    </row>
    <row r="33">
      <c r="A33" s="6" t="inlineStr">
        <is>
          <t>Clothing Racks (if applicable)</t>
        </is>
      </c>
      <c r="B33" s="10" t="n">
        <v>0</v>
      </c>
      <c r="C33" s="7" t="n">
        <v>150</v>
      </c>
      <c r="D33" s="11">
        <f>B33*C33</f>
        <v/>
      </c>
    </row>
    <row r="34">
      <c r="A34" s="6" t="inlineStr">
        <is>
          <t>Slatwall Panels</t>
        </is>
      </c>
      <c r="B34" s="10" t="n">
        <v>6</v>
      </c>
      <c r="C34" s="7" t="n">
        <v>100</v>
      </c>
      <c r="D34" s="11">
        <f>B34*C34</f>
        <v/>
      </c>
    </row>
    <row r="35">
      <c r="A35" s="6" t="inlineStr">
        <is>
          <t>Shopping Baskets</t>
        </is>
      </c>
      <c r="B35" s="10" t="n">
        <v>20</v>
      </c>
      <c r="C35" s="7" t="n">
        <v>15</v>
      </c>
      <c r="D35" s="11">
        <f>B35*C35</f>
        <v/>
      </c>
    </row>
    <row r="36">
      <c r="A36" s="6" t="inlineStr">
        <is>
          <t>Shopping Carts</t>
        </is>
      </c>
      <c r="B36" s="10" t="n">
        <v>5</v>
      </c>
      <c r="C36" s="7" t="n">
        <v>120</v>
      </c>
      <c r="D36" s="11">
        <f>B36*C36</f>
        <v/>
      </c>
    </row>
    <row r="37">
      <c r="A37" s="6" t="inlineStr">
        <is>
          <t>Price Tag Gun</t>
        </is>
      </c>
      <c r="B37" s="10" t="n">
        <v>2</v>
      </c>
      <c r="C37" s="7" t="n">
        <v>25</v>
      </c>
      <c r="D37" s="11">
        <f>B37*C37</f>
        <v/>
      </c>
    </row>
    <row r="38">
      <c r="A38" s="6" t="inlineStr">
        <is>
          <t>Security Tags &amp; Detacher</t>
        </is>
      </c>
      <c r="B38" s="10" t="n">
        <v>1</v>
      </c>
      <c r="C38" s="7" t="n">
        <v>300</v>
      </c>
      <c r="D38" s="11">
        <f>B38*C38</f>
        <v/>
      </c>
    </row>
    <row r="39">
      <c r="A39" s="6" t="inlineStr">
        <is>
          <t>Mirrors</t>
        </is>
      </c>
      <c r="B39" s="10" t="n">
        <v>4</v>
      </c>
      <c r="C39" s="7" t="n">
        <v>75</v>
      </c>
      <c r="D39" s="11">
        <f>B39*C39</f>
        <v/>
      </c>
    </row>
    <row r="40">
      <c r="A40" s="8" t="inlineStr">
        <is>
          <t>SUBTOTAL: FIXTURES &amp; EQUIPMENT</t>
        </is>
      </c>
      <c r="D40" s="9">
        <f>SUM(D29:D39)</f>
        <v/>
      </c>
    </row>
    <row r="42" ht="28" customHeight="1">
      <c r="A42" s="4" t="inlineStr">
        <is>
          <t>SECTION 4: TECHNOLOGY &amp; POS SYSTEM</t>
        </is>
      </c>
    </row>
    <row r="43" ht="22" customHeight="1">
      <c r="A43" s="5" t="inlineStr">
        <is>
          <t>Category</t>
        </is>
      </c>
      <c r="B43" s="5" t="inlineStr">
        <is>
          <t>Item</t>
        </is>
      </c>
      <c r="C43" s="5" t="inlineStr">
        <is>
          <t>Estimated Cost ($)</t>
        </is>
      </c>
      <c r="D43" s="5" t="inlineStr">
        <is>
          <t>Notes</t>
        </is>
      </c>
    </row>
    <row r="44">
      <c r="A44" s="6" t="inlineStr">
        <is>
          <t>POS</t>
        </is>
      </c>
      <c r="B44" s="6" t="inlineStr">
        <is>
          <t>POS System (Hardware)</t>
        </is>
      </c>
      <c r="C44" s="7" t="n">
        <v>1200</v>
      </c>
      <c r="D44" s="6" t="inlineStr">
        <is>
          <t>Register, scanner, printer</t>
        </is>
      </c>
    </row>
    <row r="45">
      <c r="A45" s="6" t="inlineStr">
        <is>
          <t>POS</t>
        </is>
      </c>
      <c r="B45" s="6" t="inlineStr">
        <is>
          <t>POS Software (Annual)</t>
        </is>
      </c>
      <c r="C45" s="7" t="n">
        <v>600</v>
      </c>
      <c r="D45" s="6" t="inlineStr">
        <is>
          <t>Square, Shopify, Clover</t>
        </is>
      </c>
    </row>
    <row r="46">
      <c r="A46" s="6" t="inlineStr">
        <is>
          <t>Technology</t>
        </is>
      </c>
      <c r="B46" s="6" t="inlineStr">
        <is>
          <t>Security Camera System</t>
        </is>
      </c>
      <c r="C46" s="7" t="n">
        <v>800</v>
      </c>
      <c r="D46" s="6" t="inlineStr">
        <is>
          <t>4-8 cameras + DVR</t>
        </is>
      </c>
    </row>
    <row r="47">
      <c r="A47" s="6" t="inlineStr">
        <is>
          <t>Technology</t>
        </is>
      </c>
      <c r="B47" s="6" t="inlineStr">
        <is>
          <t>Alarm System</t>
        </is>
      </c>
      <c r="C47" s="7" t="n">
        <v>500</v>
      </c>
      <c r="D47" s="6" t="inlineStr">
        <is>
          <t>Installation + first year</t>
        </is>
      </c>
    </row>
    <row r="48">
      <c r="A48" s="6" t="inlineStr">
        <is>
          <t>Technology</t>
        </is>
      </c>
      <c r="B48" s="6" t="inlineStr">
        <is>
          <t>Wi-Fi Router &amp; Setup</t>
        </is>
      </c>
      <c r="C48" s="7" t="n">
        <v>150</v>
      </c>
      <c r="D48" s="6" t="inlineStr"/>
    </row>
    <row r="49">
      <c r="A49" s="6" t="inlineStr">
        <is>
          <t>Technology</t>
        </is>
      </c>
      <c r="B49" s="6" t="inlineStr">
        <is>
          <t>Computer/Tablet</t>
        </is>
      </c>
      <c r="C49" s="7" t="n">
        <v>500</v>
      </c>
      <c r="D49" s="6" t="inlineStr"/>
    </row>
    <row r="50">
      <c r="A50" s="8" t="inlineStr">
        <is>
          <t>SUBTOTAL: TECHNOLOGY</t>
        </is>
      </c>
      <c r="C50" s="9">
        <f>SUM(C44:C49)</f>
        <v/>
      </c>
    </row>
    <row r="52" ht="28" customHeight="1">
      <c r="A52" s="4" t="inlineStr">
        <is>
          <t>SECTION 5: INITIAL INVENTORY</t>
        </is>
      </c>
    </row>
    <row r="53" ht="22" customHeight="1">
      <c r="A53" s="5" t="inlineStr">
        <is>
          <t>Category</t>
        </is>
      </c>
      <c r="B53" s="5" t="inlineStr">
        <is>
          <t>Item</t>
        </is>
      </c>
      <c r="C53" s="5" t="inlineStr">
        <is>
          <t>Estimated Cost ($)</t>
        </is>
      </c>
      <c r="D53" s="5" t="inlineStr">
        <is>
          <t>Notes</t>
        </is>
      </c>
    </row>
    <row r="54">
      <c r="A54" s="6" t="inlineStr">
        <is>
          <t>Inventory</t>
        </is>
      </c>
      <c r="B54" s="6" t="inlineStr">
        <is>
          <t>Opening Stock - Category A</t>
        </is>
      </c>
      <c r="C54" s="7" t="n">
        <v>10000</v>
      </c>
      <c r="D54" s="6" t="inlineStr">
        <is>
          <t>Your main product category</t>
        </is>
      </c>
    </row>
    <row r="55">
      <c r="A55" s="6" t="inlineStr">
        <is>
          <t>Inventory</t>
        </is>
      </c>
      <c r="B55" s="6" t="inlineStr">
        <is>
          <t>Opening Stock - Category B</t>
        </is>
      </c>
      <c r="C55" s="7" t="n">
        <v>5000</v>
      </c>
      <c r="D55" s="6" t="inlineStr">
        <is>
          <t>Secondary category</t>
        </is>
      </c>
    </row>
    <row r="56">
      <c r="A56" s="6" t="inlineStr">
        <is>
          <t>Inventory</t>
        </is>
      </c>
      <c r="B56" s="6" t="inlineStr">
        <is>
          <t>Opening Stock - Category C</t>
        </is>
      </c>
      <c r="C56" s="7" t="n">
        <v>3000</v>
      </c>
      <c r="D56" s="6" t="inlineStr">
        <is>
          <t>Tertiary category</t>
        </is>
      </c>
    </row>
    <row r="57">
      <c r="A57" s="6" t="inlineStr">
        <is>
          <t>Inventory</t>
        </is>
      </c>
      <c r="B57" s="6" t="inlineStr">
        <is>
          <t>Packaging Supplies</t>
        </is>
      </c>
      <c r="C57" s="7" t="n">
        <v>500</v>
      </c>
      <c r="D57" s="6" t="inlineStr">
        <is>
          <t>Bags, tissue, boxes</t>
        </is>
      </c>
    </row>
    <row r="58">
      <c r="A58" s="8" t="inlineStr">
        <is>
          <t>SUBTOTAL: INVENTORY</t>
        </is>
      </c>
      <c r="C58" s="9">
        <f>SUM(C54:C57)</f>
        <v/>
      </c>
    </row>
    <row r="60" ht="28" customHeight="1">
      <c r="A60" s="4" t="inlineStr">
        <is>
          <t>SECTION 6: LICENSES &amp; LEGAL</t>
        </is>
      </c>
    </row>
    <row r="61" ht="22" customHeight="1">
      <c r="A61" s="5" t="inlineStr">
        <is>
          <t>Category</t>
        </is>
      </c>
      <c r="B61" s="5" t="inlineStr">
        <is>
          <t>Item</t>
        </is>
      </c>
      <c r="C61" s="5" t="inlineStr">
        <is>
          <t>Estimated Cost ($)</t>
        </is>
      </c>
      <c r="D61" s="5" t="inlineStr">
        <is>
          <t>Notes</t>
        </is>
      </c>
    </row>
    <row r="62">
      <c r="A62" s="6" t="inlineStr">
        <is>
          <t>Legal</t>
        </is>
      </c>
      <c r="B62" s="6" t="inlineStr">
        <is>
          <t>Business Registration</t>
        </is>
      </c>
      <c r="C62" s="7" t="n">
        <v>150</v>
      </c>
      <c r="D62" s="6" t="inlineStr"/>
    </row>
    <row r="63">
      <c r="A63" s="6" t="inlineStr">
        <is>
          <t>Legal</t>
        </is>
      </c>
      <c r="B63" s="6" t="inlineStr">
        <is>
          <t>Sales Tax Permit</t>
        </is>
      </c>
      <c r="C63" s="7" t="n">
        <v>0</v>
      </c>
      <c r="D63" s="6" t="inlineStr">
        <is>
          <t>Often free</t>
        </is>
      </c>
    </row>
    <row r="64">
      <c r="A64" s="6" t="inlineStr">
        <is>
          <t>Legal</t>
        </is>
      </c>
      <c r="B64" s="6" t="inlineStr">
        <is>
          <t>Health Permit (if food)</t>
        </is>
      </c>
      <c r="C64" s="7" t="n">
        <v>300</v>
      </c>
      <c r="D64" s="6" t="inlineStr"/>
    </row>
    <row r="65">
      <c r="A65" s="6" t="inlineStr">
        <is>
          <t>Legal</t>
        </is>
      </c>
      <c r="B65" s="6" t="inlineStr">
        <is>
          <t>Fire Safety Inspection</t>
        </is>
      </c>
      <c r="C65" s="7" t="n">
        <v>100</v>
      </c>
      <c r="D65" s="6" t="inlineStr"/>
    </row>
    <row r="66">
      <c r="A66" s="6" t="inlineStr">
        <is>
          <t>Legal</t>
        </is>
      </c>
      <c r="B66" s="6" t="inlineStr">
        <is>
          <t>Business Insurance (Annual)</t>
        </is>
      </c>
      <c r="C66" s="7" t="n">
        <v>1500</v>
      </c>
      <c r="D66" s="6" t="inlineStr">
        <is>
          <t>Liability + property</t>
        </is>
      </c>
    </row>
    <row r="67">
      <c r="A67" s="6" t="inlineStr">
        <is>
          <t>Legal</t>
        </is>
      </c>
      <c r="B67" s="6" t="inlineStr">
        <is>
          <t>Trademark Registration</t>
        </is>
      </c>
      <c r="C67" s="7" t="n">
        <v>350</v>
      </c>
      <c r="D67" s="6" t="inlineStr">
        <is>
          <t>Optional but recommended</t>
        </is>
      </c>
    </row>
    <row r="68">
      <c r="A68" s="6" t="inlineStr">
        <is>
          <t>Legal</t>
        </is>
      </c>
      <c r="B68" s="6" t="inlineStr">
        <is>
          <t>Attorney Consultation</t>
        </is>
      </c>
      <c r="C68" s="7" t="n">
        <v>500</v>
      </c>
      <c r="D68" s="6" t="inlineStr">
        <is>
          <t>Contract review</t>
        </is>
      </c>
    </row>
    <row r="69">
      <c r="A69" s="8" t="inlineStr">
        <is>
          <t>SUBTOTAL: LICENSES &amp; LEGAL</t>
        </is>
      </c>
      <c r="C69" s="9">
        <f>SUM(C62:C68)</f>
        <v/>
      </c>
    </row>
    <row r="71" ht="28" customHeight="1">
      <c r="A71" s="4" t="inlineStr">
        <is>
          <t>SECTION 7: MARKETING &amp; GRAND OPENING</t>
        </is>
      </c>
    </row>
    <row r="72" ht="22" customHeight="1">
      <c r="A72" s="5" t="inlineStr">
        <is>
          <t>Category</t>
        </is>
      </c>
      <c r="B72" s="5" t="inlineStr">
        <is>
          <t>Item</t>
        </is>
      </c>
      <c r="C72" s="5" t="inlineStr">
        <is>
          <t>Estimated Cost ($)</t>
        </is>
      </c>
      <c r="D72" s="5" t="inlineStr">
        <is>
          <t>Notes</t>
        </is>
      </c>
    </row>
    <row r="73">
      <c r="A73" s="6" t="inlineStr">
        <is>
          <t>Marketing</t>
        </is>
      </c>
      <c r="B73" s="6" t="inlineStr">
        <is>
          <t>Logo Design</t>
        </is>
      </c>
      <c r="C73" s="7" t="n">
        <v>300</v>
      </c>
      <c r="D73" s="6" t="inlineStr"/>
    </row>
    <row r="74">
      <c r="A74" s="6" t="inlineStr">
        <is>
          <t>Marketing</t>
        </is>
      </c>
      <c r="B74" s="6" t="inlineStr">
        <is>
          <t>Business Cards &amp; Flyers</t>
        </is>
      </c>
      <c r="C74" s="7" t="n">
        <v>200</v>
      </c>
      <c r="D74" s="6" t="inlineStr"/>
    </row>
    <row r="75">
      <c r="A75" s="6" t="inlineStr">
        <is>
          <t>Marketing</t>
        </is>
      </c>
      <c r="B75" s="6" t="inlineStr">
        <is>
          <t>Website Development</t>
        </is>
      </c>
      <c r="C75" s="7" t="n">
        <v>1500</v>
      </c>
      <c r="D75" s="6" t="inlineStr">
        <is>
          <t>Or use Shopify/Wix</t>
        </is>
      </c>
    </row>
    <row r="76">
      <c r="A76" s="6" t="inlineStr">
        <is>
          <t>Marketing</t>
        </is>
      </c>
      <c r="B76" s="6" t="inlineStr">
        <is>
          <t>Social Media Setup</t>
        </is>
      </c>
      <c r="C76" s="7" t="n">
        <v>0</v>
      </c>
      <c r="D76" s="6" t="inlineStr">
        <is>
          <t>DIY</t>
        </is>
      </c>
    </row>
    <row r="77">
      <c r="A77" s="6" t="inlineStr">
        <is>
          <t>Marketing</t>
        </is>
      </c>
      <c r="B77" s="6" t="inlineStr">
        <is>
          <t>Grand Opening Event</t>
        </is>
      </c>
      <c r="C77" s="7" t="n">
        <v>1000</v>
      </c>
      <c r="D77" s="6" t="inlineStr">
        <is>
          <t>Promotions, refreshments</t>
        </is>
      </c>
    </row>
    <row r="78">
      <c r="A78" s="6" t="inlineStr">
        <is>
          <t>Marketing</t>
        </is>
      </c>
      <c r="B78" s="6" t="inlineStr">
        <is>
          <t>Local Advertising</t>
        </is>
      </c>
      <c r="C78" s="7" t="n">
        <v>500</v>
      </c>
      <c r="D78" s="6" t="inlineStr">
        <is>
          <t>First month</t>
        </is>
      </c>
    </row>
    <row r="79">
      <c r="A79" s="6" t="inlineStr">
        <is>
          <t>Marketing</t>
        </is>
      </c>
      <c r="B79" s="6" t="inlineStr">
        <is>
          <t>Google/Meta Ads</t>
        </is>
      </c>
      <c r="C79" s="7" t="n">
        <v>500</v>
      </c>
      <c r="D79" s="6" t="inlineStr">
        <is>
          <t>First month</t>
        </is>
      </c>
    </row>
    <row r="80">
      <c r="A80" s="8" t="inlineStr">
        <is>
          <t>SUBTOTAL: MARKETING</t>
        </is>
      </c>
      <c r="C80" s="9">
        <f>SUM(C73:C79)</f>
        <v/>
      </c>
    </row>
    <row r="82" ht="28" customHeight="1">
      <c r="A82" s="4" t="inlineStr">
        <is>
          <t>SECTION 8: OPERATING CAPITAL (3 Months Reserve)</t>
        </is>
      </c>
    </row>
    <row r="83" ht="22" customHeight="1">
      <c r="A83" s="5" t="inlineStr">
        <is>
          <t>Item</t>
        </is>
      </c>
      <c r="B83" s="5" t="inlineStr">
        <is>
          <t>Monthly Cost ($)</t>
        </is>
      </c>
      <c r="C83" s="5" t="inlineStr">
        <is>
          <t>Months</t>
        </is>
      </c>
      <c r="D83" s="5" t="inlineStr">
        <is>
          <t>Total ($)</t>
        </is>
      </c>
    </row>
    <row r="84">
      <c r="A84" s="6" t="inlineStr">
        <is>
          <t>Rent</t>
        </is>
      </c>
      <c r="B84" s="7" t="n">
        <v>2500</v>
      </c>
      <c r="C84" s="10" t="n">
        <v>3</v>
      </c>
      <c r="D84" s="11">
        <f>B84*C84</f>
        <v/>
      </c>
    </row>
    <row r="85">
      <c r="A85" s="6" t="inlineStr">
        <is>
          <t>Utilities</t>
        </is>
      </c>
      <c r="B85" s="7" t="n">
        <v>400</v>
      </c>
      <c r="C85" s="10" t="n">
        <v>3</v>
      </c>
      <c r="D85" s="11">
        <f>B85*C85</f>
        <v/>
      </c>
    </row>
    <row r="86">
      <c r="A86" s="6" t="inlineStr">
        <is>
          <t>Payroll</t>
        </is>
      </c>
      <c r="B86" s="7" t="n">
        <v>4000</v>
      </c>
      <c r="C86" s="10" t="n">
        <v>3</v>
      </c>
      <c r="D86" s="11">
        <f>B86*C86</f>
        <v/>
      </c>
    </row>
    <row r="87">
      <c r="A87" s="6" t="inlineStr">
        <is>
          <t>Inventory Replenishment</t>
        </is>
      </c>
      <c r="B87" s="7" t="n">
        <v>2000</v>
      </c>
      <c r="C87" s="10" t="n">
        <v>3</v>
      </c>
      <c r="D87" s="11">
        <f>B87*C87</f>
        <v/>
      </c>
    </row>
    <row r="88">
      <c r="A88" s="6" t="inlineStr">
        <is>
          <t>Marketing/Advertising</t>
        </is>
      </c>
      <c r="B88" s="7" t="n">
        <v>300</v>
      </c>
      <c r="C88" s="10" t="n">
        <v>3</v>
      </c>
      <c r="D88" s="11">
        <f>B88*C88</f>
        <v/>
      </c>
    </row>
    <row r="89">
      <c r="A89" s="6" t="inlineStr">
        <is>
          <t>Miscellaneous</t>
        </is>
      </c>
      <c r="B89" s="7" t="n">
        <v>500</v>
      </c>
      <c r="C89" s="10" t="n">
        <v>3</v>
      </c>
      <c r="D89" s="11">
        <f>B89*C89</f>
        <v/>
      </c>
    </row>
    <row r="90">
      <c r="A90" s="8" t="inlineStr">
        <is>
          <t>SUBTOTAL: OPERATING CAPITAL</t>
        </is>
      </c>
      <c r="D90" s="9">
        <f>SUM(D84:D89)</f>
        <v/>
      </c>
    </row>
    <row r="93" ht="28" customHeight="1">
      <c r="A93" s="4" t="inlineStr">
        <is>
          <t>GRAND TOTAL SUMMARY</t>
        </is>
      </c>
    </row>
    <row r="94">
      <c r="A94" s="6" t="inlineStr">
        <is>
          <t>Location &amp; Lease</t>
        </is>
      </c>
      <c r="B94" s="12" t="n"/>
      <c r="C94" s="13" t="n"/>
      <c r="D94" s="11">
        <f>C12</f>
        <v/>
      </c>
    </row>
    <row r="95">
      <c r="A95" s="6" t="inlineStr">
        <is>
          <t>Renovation &amp; Build-out</t>
        </is>
      </c>
      <c r="B95" s="12" t="n"/>
      <c r="C95" s="13" t="n"/>
      <c r="D95" s="11">
        <f>C25</f>
        <v/>
      </c>
    </row>
    <row r="96">
      <c r="A96" s="6" t="inlineStr">
        <is>
          <t>Fixtures &amp; Equipment</t>
        </is>
      </c>
      <c r="B96" s="12" t="n"/>
      <c r="C96" s="13" t="n"/>
      <c r="D96" s="11">
        <f>D40</f>
        <v/>
      </c>
    </row>
    <row r="97">
      <c r="A97" s="6" t="inlineStr">
        <is>
          <t>Technology &amp; POS</t>
        </is>
      </c>
      <c r="B97" s="12" t="n"/>
      <c r="C97" s="13" t="n"/>
      <c r="D97" s="11">
        <f>C50</f>
        <v/>
      </c>
    </row>
    <row r="98">
      <c r="A98" s="6" t="inlineStr">
        <is>
          <t>Initial Inventory</t>
        </is>
      </c>
      <c r="B98" s="12" t="n"/>
      <c r="C98" s="13" t="n"/>
      <c r="D98" s="11">
        <f>C58</f>
        <v/>
      </c>
    </row>
    <row r="99">
      <c r="A99" s="6" t="inlineStr">
        <is>
          <t>Licenses &amp; Legal</t>
        </is>
      </c>
      <c r="B99" s="12" t="n"/>
      <c r="C99" s="13" t="n"/>
      <c r="D99" s="11">
        <f>C69</f>
        <v/>
      </c>
    </row>
    <row r="100">
      <c r="A100" s="6" t="inlineStr">
        <is>
          <t>Marketing &amp; Launch</t>
        </is>
      </c>
      <c r="B100" s="12" t="n"/>
      <c r="C100" s="13" t="n"/>
      <c r="D100" s="11">
        <f>C80</f>
        <v/>
      </c>
    </row>
    <row r="101">
      <c r="A101" s="6" t="inlineStr">
        <is>
          <t>Operating Capital (3 months)</t>
        </is>
      </c>
      <c r="B101" s="12" t="n"/>
      <c r="C101" s="13" t="n"/>
      <c r="D101" s="11">
        <f>D90</f>
        <v/>
      </c>
    </row>
    <row r="102" ht="30" customHeight="1">
      <c r="A102" s="14" t="inlineStr">
        <is>
          <t>TOTAL STARTUP COST</t>
        </is>
      </c>
      <c r="D102" s="15">
        <f>SUM(D94:D101)</f>
        <v/>
      </c>
    </row>
    <row r="105">
      <c r="A105" s="16" t="inlineStr">
        <is>
          <t>Need quality fixtures at competitive prices?</t>
        </is>
      </c>
    </row>
    <row r="106">
      <c r="A106" s="17" t="inlineStr">
        <is>
          <t>Contact Goodok Shopfitting: www.goodokshop.com | info@goodokshop.com</t>
        </is>
      </c>
    </row>
  </sheetData>
  <mergeCells count="31">
    <mergeCell ref="A99:C99"/>
    <mergeCell ref="A90:C90"/>
    <mergeCell ref="A106:D106"/>
    <mergeCell ref="A4:D4"/>
    <mergeCell ref="A52:D52"/>
    <mergeCell ref="A101:C101"/>
    <mergeCell ref="A95:C95"/>
    <mergeCell ref="A93:D93"/>
    <mergeCell ref="A69:B69"/>
    <mergeCell ref="A25:B25"/>
    <mergeCell ref="A97:C97"/>
    <mergeCell ref="A82:D82"/>
    <mergeCell ref="A100:C100"/>
    <mergeCell ref="A80:B80"/>
    <mergeCell ref="A60:D60"/>
    <mergeCell ref="A96:C96"/>
    <mergeCell ref="A50:B50"/>
    <mergeCell ref="A12:B12"/>
    <mergeCell ref="A1:D1"/>
    <mergeCell ref="A6:D6"/>
    <mergeCell ref="A102:C102"/>
    <mergeCell ref="A40:C40"/>
    <mergeCell ref="A98:C98"/>
    <mergeCell ref="A27:D27"/>
    <mergeCell ref="A94:C94"/>
    <mergeCell ref="A105:D105"/>
    <mergeCell ref="A2:D2"/>
    <mergeCell ref="A71:D71"/>
    <mergeCell ref="A42:D42"/>
    <mergeCell ref="A58:B5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2026-01-10T16:52:25Z</dcterms:created>
  <dcterms:modified xmlns:dcterms="http://purl.org/dc/terms/" xmlns:xsi="http://www.w3.org/2001/XMLSchema-instance" xsi:type="dcterms:W3CDTF">2026-01-10T16:52:25Z</dcterms:modified>
</cp:coreProperties>
</file>