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ving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i val="1"/>
      <color rgb="00666666"/>
      <sz val="10"/>
    </font>
    <font>
      <b val="1"/>
      <color rgb="002E86AB"/>
      <sz val="10"/>
    </font>
    <font>
      <name val="Arial"/>
      <b val="1"/>
      <color rgb="00FFFFFF"/>
      <sz val="14"/>
    </font>
    <font>
      <name val="Arial"/>
      <b val="1"/>
      <color rgb="002C3E50"/>
      <sz val="11"/>
    </font>
    <font>
      <name val="Arial"/>
      <b val="1"/>
      <color rgb="001E3A5F"/>
      <sz val="11"/>
    </font>
    <font>
      <b val="1"/>
      <color rgb="002C3E50"/>
    </font>
    <font>
      <b val="1"/>
      <color rgb="00FFFFFF"/>
    </font>
    <font>
      <b val="1"/>
      <color rgb="00F5A623"/>
      <sz val="14"/>
    </font>
    <font>
      <b val="1"/>
      <color rgb="002E86AB"/>
      <sz val="12"/>
    </font>
    <font>
      <name val="Arial"/>
      <color rgb="002E86AB"/>
      <sz val="10"/>
      <u val="single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164" fontId="0" fillId="5" borderId="1" pivotButton="0" quotePrefix="0" xfId="0"/>
    <xf numFmtId="164" fontId="0" fillId="0" borderId="1" pivotButton="0" quotePrefix="0" xfId="0"/>
    <xf numFmtId="0" fontId="8" fillId="2" borderId="0" pivotButton="0" quotePrefix="0" xfId="0"/>
    <xf numFmtId="164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5" customWidth="1" min="4" max="4"/>
    <col width="15" customWidth="1" min="5" max="5"/>
    <col width="30" customWidth="1" min="6" max="6"/>
  </cols>
  <sheetData>
    <row r="1" ht="35" customHeight="1">
      <c r="A1" s="1" t="inlineStr">
        <is>
          <t>RETAIL SHELVING &amp; FIXTURE CALCULATOR</t>
        </is>
      </c>
    </row>
    <row r="2">
      <c r="A2" s="2" t="inlineStr">
        <is>
          <t>Version 1.0 | Goodok Shopfitting | www.goodokshop.com</t>
        </is>
      </c>
    </row>
    <row r="4">
      <c r="A4" s="3" t="inlineStr">
        <is>
          <t>Instructions: Enter your store dimensions in the YELLOW cells. The calculator will recommend fixtures.</t>
        </is>
      </c>
    </row>
    <row r="6" ht="28" customHeight="1">
      <c r="A6" s="4" t="inlineStr">
        <is>
          <t>SECTION 1: STORE DIMENSIONS</t>
        </is>
      </c>
    </row>
    <row r="7" ht="22" customHeight="1">
      <c r="A7" s="5" t="inlineStr">
        <is>
          <t>Parameter</t>
        </is>
      </c>
      <c r="B7" s="5" t="inlineStr">
        <is>
          <t>Your Value</t>
        </is>
      </c>
      <c r="C7" s="5" t="inlineStr">
        <is>
          <t>Unit</t>
        </is>
      </c>
      <c r="D7" s="5" t="inlineStr"/>
      <c r="E7" s="5" t="inlineStr"/>
      <c r="F7" s="5" t="inlineStr">
        <is>
          <t>Notes</t>
        </is>
      </c>
    </row>
    <row r="8">
      <c r="A8" s="6" t="inlineStr">
        <is>
          <t>Store Length</t>
        </is>
      </c>
      <c r="B8" s="7" t="n">
        <v>50</v>
      </c>
      <c r="C8" s="6" t="inlineStr">
        <is>
          <t>feet</t>
        </is>
      </c>
      <c r="F8" s="6" t="inlineStr">
        <is>
          <t>Front to back</t>
        </is>
      </c>
    </row>
    <row r="9">
      <c r="A9" s="6" t="inlineStr">
        <is>
          <t>Store Width</t>
        </is>
      </c>
      <c r="B9" s="7" t="n">
        <v>30</v>
      </c>
      <c r="C9" s="6" t="inlineStr">
        <is>
          <t>feet</t>
        </is>
      </c>
      <c r="F9" s="6" t="inlineStr">
        <is>
          <t>Side to side</t>
        </is>
      </c>
    </row>
    <row r="10">
      <c r="A10" s="6" t="inlineStr">
        <is>
          <t>Total Square Footage</t>
        </is>
      </c>
      <c r="B10" s="8">
        <f>B8*B9</f>
        <v/>
      </c>
      <c r="C10" s="6" t="inlineStr">
        <is>
          <t>sq ft</t>
        </is>
      </c>
      <c r="F10" s="6" t="inlineStr">
        <is>
          <t>Auto-calculated</t>
        </is>
      </c>
    </row>
    <row r="11">
      <c r="A11" s="6" t="inlineStr">
        <is>
          <t>Selling Floor %</t>
        </is>
      </c>
      <c r="B11" s="7" t="n">
        <v>75</v>
      </c>
      <c r="C11" s="6" t="inlineStr">
        <is>
          <t>%</t>
        </is>
      </c>
      <c r="F11" s="6" t="inlineStr">
        <is>
          <t>Exclude stockroom, office</t>
        </is>
      </c>
    </row>
    <row r="12">
      <c r="A12" s="6" t="inlineStr">
        <is>
          <t>Selling Floor Area</t>
        </is>
      </c>
      <c r="B12" s="8">
        <f>B10*B11/100</f>
        <v/>
      </c>
      <c r="C12" s="6" t="inlineStr">
        <is>
          <t>sq ft</t>
        </is>
      </c>
      <c r="F12" s="6" t="inlineStr">
        <is>
          <t>Auto-calculated</t>
        </is>
      </c>
    </row>
    <row r="13">
      <c r="A13" s="6" t="inlineStr">
        <is>
          <t>Ceiling Height</t>
        </is>
      </c>
      <c r="B13" s="7" t="n">
        <v>10</v>
      </c>
      <c r="C13" s="6" t="inlineStr">
        <is>
          <t>feet</t>
        </is>
      </c>
      <c r="F13" s="6" t="inlineStr">
        <is>
          <t>For shelving height limits</t>
        </is>
      </c>
    </row>
    <row r="15" ht="28" customHeight="1">
      <c r="A15" s="4" t="inlineStr">
        <is>
          <t>SECTION 2: RECOMMENDED FIXTURES (Based on Store Size)</t>
        </is>
      </c>
    </row>
    <row r="16">
      <c r="A16" s="9" t="inlineStr">
        <is>
          <t>Based on your store size, we recommend:</t>
        </is>
      </c>
    </row>
    <row r="17" ht="22" customHeight="1">
      <c r="A17" s="5" t="inlineStr">
        <is>
          <t>Fixture Type</t>
        </is>
      </c>
      <c r="B17" s="5" t="inlineStr">
        <is>
          <t>Qty Recommended</t>
        </is>
      </c>
      <c r="C17" s="5" t="inlineStr">
        <is>
          <t>Unit Price ($)</t>
        </is>
      </c>
      <c r="D17" s="5" t="inlineStr">
        <is>
          <t>Total ($)</t>
        </is>
      </c>
      <c r="E17" s="5" t="inlineStr"/>
      <c r="F17" s="5" t="inlineStr">
        <is>
          <t>Notes</t>
        </is>
      </c>
    </row>
    <row r="18">
      <c r="A18" s="6" t="inlineStr">
        <is>
          <t>Gondola Shelving (Double-sided)</t>
        </is>
      </c>
      <c r="B18" s="8">
        <f>ROUND(B10/150,0)</f>
        <v/>
      </c>
      <c r="C18" s="10" t="n">
        <v>350</v>
      </c>
      <c r="D18" s="11">
        <f>B18*C18</f>
        <v/>
      </c>
      <c r="F18" s="6" t="inlineStr">
        <is>
          <t>Main floor displays</t>
        </is>
      </c>
    </row>
    <row r="19">
      <c r="A19" s="6" t="inlineStr">
        <is>
          <t>Wall Shelving Units</t>
        </is>
      </c>
      <c r="B19" s="8">
        <f>ROUND((B8+B9)*2/4,0)</f>
        <v/>
      </c>
      <c r="C19" s="10" t="n">
        <v>250</v>
      </c>
      <c r="D19" s="11">
        <f>B19*C19</f>
        <v/>
      </c>
      <c r="F19" s="6" t="inlineStr">
        <is>
          <t>Perimeter walls</t>
        </is>
      </c>
    </row>
    <row r="20">
      <c r="A20" s="6" t="inlineStr">
        <is>
          <t>Display Cases (Glass)</t>
        </is>
      </c>
      <c r="B20" s="8">
        <f>MAX(2,ROUND(B10/500,0))</f>
        <v/>
      </c>
      <c r="C20" s="10" t="n">
        <v>400</v>
      </c>
      <c r="D20" s="11">
        <f>B20*C20</f>
        <v/>
      </c>
      <c r="F20" s="6" t="inlineStr">
        <is>
          <t>High-value items</t>
        </is>
      </c>
    </row>
    <row r="21">
      <c r="A21" s="6" t="inlineStr">
        <is>
          <t>Checkout Counter</t>
        </is>
      </c>
      <c r="B21" s="8" t="n">
        <v>1</v>
      </c>
      <c r="C21" s="10" t="n">
        <v>800</v>
      </c>
      <c r="D21" s="11">
        <f>B21*C21</f>
        <v/>
      </c>
      <c r="F21" s="6" t="inlineStr"/>
    </row>
    <row r="22">
      <c r="A22" s="6" t="inlineStr">
        <is>
          <t>End Caps</t>
        </is>
      </c>
      <c r="B22" s="8">
        <f>B15*2</f>
        <v/>
      </c>
      <c r="C22" s="10" t="n">
        <v>120</v>
      </c>
      <c r="D22" s="11">
        <f>B22*C22</f>
        <v/>
      </c>
      <c r="F22" s="6" t="inlineStr">
        <is>
          <t>2 per gondola run</t>
        </is>
      </c>
    </row>
    <row r="23">
      <c r="A23" s="12" t="inlineStr">
        <is>
          <t>TOTAL FIXTURE INVESTMENT</t>
        </is>
      </c>
      <c r="D23" s="13">
        <f>SUM(D18:D22)</f>
        <v/>
      </c>
    </row>
    <row r="25" ht="28" customHeight="1">
      <c r="A25" s="4" t="inlineStr">
        <is>
          <t>SECTION 3: STORE TYPE PRESETS (Reference)</t>
        </is>
      </c>
    </row>
    <row r="26" ht="22" customHeight="1">
      <c r="A26" s="5" t="inlineStr">
        <is>
          <t>Store Type</t>
        </is>
      </c>
      <c r="B26" s="5" t="inlineStr">
        <is>
          <t>Sq Ft</t>
        </is>
      </c>
      <c r="C26" s="5" t="inlineStr">
        <is>
          <t>Gondolas</t>
        </is>
      </c>
      <c r="D26" s="5" t="inlineStr">
        <is>
          <t>Wall Units</t>
        </is>
      </c>
      <c r="E26" s="5" t="inlineStr">
        <is>
          <t>Display Cases</t>
        </is>
      </c>
      <c r="F26" s="5" t="inlineStr">
        <is>
          <t>Est. Cost</t>
        </is>
      </c>
    </row>
    <row r="27">
      <c r="A27" s="6" t="inlineStr">
        <is>
          <t>Convenience Store</t>
        </is>
      </c>
      <c r="B27" s="6" t="n">
        <v>800</v>
      </c>
      <c r="C27" s="6" t="n">
        <v>6</v>
      </c>
      <c r="D27" s="6" t="n">
        <v>8</v>
      </c>
      <c r="E27" s="6" t="n">
        <v>2</v>
      </c>
      <c r="F27" s="11" t="n">
        <v>8500</v>
      </c>
    </row>
    <row r="28">
      <c r="A28" s="6" t="inlineStr">
        <is>
          <t>Small Boutique</t>
        </is>
      </c>
      <c r="B28" s="6" t="n">
        <v>1000</v>
      </c>
      <c r="C28" s="6" t="n">
        <v>4</v>
      </c>
      <c r="D28" s="6" t="n">
        <v>10</v>
      </c>
      <c r="E28" s="6" t="n">
        <v>4</v>
      </c>
      <c r="F28" s="11" t="n">
        <v>9200</v>
      </c>
    </row>
    <row r="29">
      <c r="A29" s="6" t="inlineStr">
        <is>
          <t>General Retail</t>
        </is>
      </c>
      <c r="B29" s="6" t="n">
        <v>1500</v>
      </c>
      <c r="C29" s="6" t="n">
        <v>10</v>
      </c>
      <c r="D29" s="6" t="n">
        <v>12</v>
      </c>
      <c r="E29" s="6" t="n">
        <v>4</v>
      </c>
      <c r="F29" s="11" t="n">
        <v>14500</v>
      </c>
    </row>
    <row r="30">
      <c r="A30" s="6" t="inlineStr">
        <is>
          <t>Pharmacy/Health</t>
        </is>
      </c>
      <c r="B30" s="6" t="n">
        <v>2000</v>
      </c>
      <c r="C30" s="6" t="n">
        <v>14</v>
      </c>
      <c r="D30" s="6" t="n">
        <v>16</v>
      </c>
      <c r="E30" s="6" t="n">
        <v>6</v>
      </c>
      <c r="F30" s="11" t="n">
        <v>21000</v>
      </c>
    </row>
    <row r="31">
      <c r="A31" s="6" t="inlineStr">
        <is>
          <t>Large Retail</t>
        </is>
      </c>
      <c r="B31" s="6" t="n">
        <v>3000</v>
      </c>
      <c r="C31" s="6" t="n">
        <v>20</v>
      </c>
      <c r="D31" s="6" t="n">
        <v>20</v>
      </c>
      <c r="E31" s="6" t="n">
        <v>8</v>
      </c>
      <c r="F31" s="11" t="n">
        <v>32000</v>
      </c>
    </row>
    <row r="34" ht="28" customHeight="1">
      <c r="A34" s="4" t="inlineStr">
        <is>
          <t>SECTION 4: FIXTURE PRICING GUIDE</t>
        </is>
      </c>
    </row>
    <row r="35" ht="22" customHeight="1">
      <c r="A35" s="5" t="inlineStr">
        <is>
          <t>Fixture Type</t>
        </is>
      </c>
      <c r="B35" s="5" t="inlineStr">
        <is>
          <t>New Price</t>
        </is>
      </c>
      <c r="C35" s="5" t="inlineStr">
        <is>
          <t>Used Price</t>
        </is>
      </c>
      <c r="D35" s="5" t="inlineStr">
        <is>
          <t>Savings</t>
        </is>
      </c>
      <c r="E35" s="5" t="inlineStr"/>
      <c r="F35" s="5" t="inlineStr">
        <is>
          <t>Notes</t>
        </is>
      </c>
    </row>
    <row r="36">
      <c r="A36" s="6" t="inlineStr">
        <is>
          <t>Gondola (Double-sided Starter)</t>
        </is>
      </c>
      <c r="B36" s="11" t="n">
        <v>350</v>
      </c>
      <c r="C36" s="11" t="n">
        <v>175</v>
      </c>
      <c r="D36" s="6" t="inlineStr">
        <is>
          <t>50%</t>
        </is>
      </c>
      <c r="F36" s="6" t="inlineStr">
        <is>
          <t>4ft wide, 72" tall</t>
        </is>
      </c>
    </row>
    <row r="37">
      <c r="A37" s="6" t="inlineStr">
        <is>
          <t>Gondola (Double-sided Add-on)</t>
        </is>
      </c>
      <c r="B37" s="11" t="n">
        <v>280</v>
      </c>
      <c r="C37" s="11" t="n">
        <v>140</v>
      </c>
      <c r="D37" s="6" t="inlineStr">
        <is>
          <t>50%</t>
        </is>
      </c>
      <c r="F37" s="6" t="inlineStr">
        <is>
          <t>Extends runs</t>
        </is>
      </c>
    </row>
    <row r="38">
      <c r="A38" s="6" t="inlineStr">
        <is>
          <t>Wall Shelving Unit</t>
        </is>
      </c>
      <c r="B38" s="11" t="n">
        <v>250</v>
      </c>
      <c r="C38" s="11" t="n">
        <v>125</v>
      </c>
      <c r="D38" s="6" t="inlineStr">
        <is>
          <t>50%</t>
        </is>
      </c>
      <c r="F38" s="6" t="inlineStr">
        <is>
          <t>48"x84"</t>
        </is>
      </c>
    </row>
    <row r="39">
      <c r="A39" s="6" t="inlineStr">
        <is>
          <t>Glass Display Case</t>
        </is>
      </c>
      <c r="B39" s="11" t="n">
        <v>400</v>
      </c>
      <c r="C39" s="11" t="n">
        <v>200</v>
      </c>
      <c r="D39" s="6" t="inlineStr">
        <is>
          <t>50%</t>
        </is>
      </c>
      <c r="F39" s="6" t="inlineStr">
        <is>
          <t>Counter height</t>
        </is>
      </c>
    </row>
    <row r="40">
      <c r="A40" s="6" t="inlineStr">
        <is>
          <t>Checkout Counter (L-shaped)</t>
        </is>
      </c>
      <c r="B40" s="11" t="n">
        <v>1200</v>
      </c>
      <c r="C40" s="11" t="n">
        <v>600</v>
      </c>
      <c r="D40" s="6" t="inlineStr">
        <is>
          <t>50%</t>
        </is>
      </c>
      <c r="F40" s="6" t="inlineStr">
        <is>
          <t>More workspace</t>
        </is>
      </c>
    </row>
    <row r="41">
      <c r="A41" s="6" t="inlineStr">
        <is>
          <t>End Cap</t>
        </is>
      </c>
      <c r="B41" s="11" t="n">
        <v>120</v>
      </c>
      <c r="C41" s="11" t="n">
        <v>60</v>
      </c>
      <c r="D41" s="6" t="inlineStr">
        <is>
          <t>50%</t>
        </is>
      </c>
      <c r="F41" s="6" t="inlineStr">
        <is>
          <t>For promotions</t>
        </is>
      </c>
    </row>
    <row r="44">
      <c r="A44" s="14" t="inlineStr">
        <is>
          <t>GET A FREE CUSTOM QUOTE FOR YOUR STORE!</t>
        </is>
      </c>
    </row>
    <row r="45">
      <c r="A45" s="15" t="inlineStr">
        <is>
          <t>Goodok Shopfitting - Quality Fixtures, Fair Prices</t>
        </is>
      </c>
    </row>
    <row r="46">
      <c r="A46" s="16" t="inlineStr">
        <is>
          <t>www.goodokshop.com | info@goodokshop.com</t>
        </is>
      </c>
    </row>
  </sheetData>
  <mergeCells count="12">
    <mergeCell ref="A2:F2"/>
    <mergeCell ref="A16:F16"/>
    <mergeCell ref="A46:F46"/>
    <mergeCell ref="A23:C23"/>
    <mergeCell ref="A44:F44"/>
    <mergeCell ref="A1:F1"/>
    <mergeCell ref="A45:F45"/>
    <mergeCell ref="A6:F6"/>
    <mergeCell ref="A34:F34"/>
    <mergeCell ref="A4:F4"/>
    <mergeCell ref="A15:F1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2026-01-10T16:56:30Z</dcterms:created>
  <dcterms:modified xmlns:dcterms="http://purl.org/dc/terms/" xmlns:xsi="http://www.w3.org/2001/XMLSchema-instance" xsi:type="dcterms:W3CDTF">2026-01-10T16:56:30Z</dcterms:modified>
</cp:coreProperties>
</file>